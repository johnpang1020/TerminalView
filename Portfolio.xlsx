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D48BD457-D047-4066-A6A7-2582BC553A0A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2" l="1"/>
  <c r="I32" i="2" s="1"/>
  <c r="I6" i="2"/>
  <c r="J6" i="2" s="1"/>
  <c r="K6" i="2"/>
  <c r="H7" i="2"/>
  <c r="K7" i="2" s="1"/>
  <c r="I7" i="2"/>
  <c r="J7" i="2" s="1"/>
  <c r="I8" i="2"/>
  <c r="J8" i="2" s="1"/>
  <c r="K8" i="2"/>
  <c r="I9" i="2"/>
  <c r="I10" i="2"/>
  <c r="I11" i="2"/>
  <c r="I12" i="2"/>
  <c r="I14" i="2"/>
  <c r="I15" i="2"/>
  <c r="E15" i="2"/>
  <c r="E14" i="2"/>
  <c r="B38" i="2"/>
  <c r="E38" i="2"/>
  <c r="I13" i="2"/>
  <c r="E13" i="2"/>
  <c r="E12" i="2"/>
  <c r="E35" i="2"/>
  <c r="D22" i="2"/>
  <c r="E11" i="2"/>
  <c r="E10" i="2"/>
  <c r="E9" i="2"/>
  <c r="D32" i="2"/>
  <c r="D35" i="2" s="1"/>
  <c r="D36" i="2" s="1"/>
  <c r="C32" i="2"/>
  <c r="C35" i="2" s="1"/>
  <c r="E8" i="2"/>
  <c r="E7" i="2"/>
  <c r="K5" i="2"/>
  <c r="E6" i="2"/>
  <c r="I5" i="2"/>
  <c r="E5" i="2"/>
  <c r="D21" i="2"/>
  <c r="H4" i="2"/>
  <c r="K4" i="2" s="1"/>
  <c r="I4" i="2"/>
  <c r="J4" i="2" s="1"/>
  <c r="E4" i="2"/>
  <c r="H3" i="2"/>
  <c r="K3" i="2" s="1"/>
  <c r="H2" i="2"/>
  <c r="K2" i="2" s="1"/>
  <c r="I3" i="2"/>
  <c r="J3" i="2" s="1"/>
  <c r="I2" i="2"/>
  <c r="J2" i="2" s="1"/>
  <c r="E3" i="2"/>
  <c r="E2" i="2"/>
  <c r="E16" i="2" l="1"/>
  <c r="A15" i="2" s="1"/>
  <c r="E40" i="2"/>
  <c r="C42" i="2"/>
  <c r="E42" i="2"/>
  <c r="D42" i="2"/>
  <c r="E36" i="2"/>
  <c r="C40" i="2"/>
  <c r="D40" i="2"/>
  <c r="C36" i="2"/>
  <c r="I16" i="2"/>
  <c r="E22" i="2" l="1"/>
  <c r="A14" i="2"/>
  <c r="E21" i="2"/>
  <c r="C25" i="2"/>
  <c r="A13" i="2"/>
  <c r="I33" i="2"/>
  <c r="A12" i="2"/>
  <c r="A11" i="2"/>
  <c r="J16" i="2"/>
  <c r="I38" i="2" s="1"/>
  <c r="B35" i="2"/>
  <c r="B40" i="2" s="1"/>
  <c r="K21" i="2" l="1"/>
  <c r="B36" i="2"/>
  <c r="K20" i="2" l="1"/>
  <c r="I39" i="2"/>
  <c r="K22" i="2"/>
  <c r="K16" i="2"/>
  <c r="A5" i="2"/>
  <c r="A2" i="2"/>
  <c r="A10" i="2"/>
  <c r="A9" i="2"/>
  <c r="A6" i="2"/>
  <c r="A7" i="2"/>
  <c r="A3" i="2"/>
  <c r="A8" i="2"/>
  <c r="A4" i="2"/>
  <c r="I35" i="2" l="1"/>
  <c r="I40" i="2" s="1"/>
  <c r="I36" i="2" l="1"/>
</calcChain>
</file>

<file path=xl/sharedStrings.xml><?xml version="1.0" encoding="utf-8"?>
<sst xmlns="http://schemas.openxmlformats.org/spreadsheetml/2006/main" count="51" uniqueCount="49">
  <si>
    <t>Shares</t>
  </si>
  <si>
    <t>TSM</t>
  </si>
  <si>
    <t>Stock</t>
  </si>
  <si>
    <t>Tax Rate</t>
  </si>
  <si>
    <t>CASH(USD)</t>
  </si>
  <si>
    <t>Amount</t>
  </si>
  <si>
    <t>Average cost</t>
  </si>
  <si>
    <t>Cost per share(USD)</t>
  </si>
  <si>
    <t>Total Cost(USD)</t>
  </si>
  <si>
    <t>Gross / Month</t>
  </si>
  <si>
    <t>Net After Tax</t>
  </si>
  <si>
    <t>Bitcoin</t>
  </si>
  <si>
    <t>Value</t>
  </si>
  <si>
    <t>Total</t>
  </si>
  <si>
    <t>Webull wallet value</t>
  </si>
  <si>
    <t>ibrk wallet value</t>
  </si>
  <si>
    <t>Monthly Gross / Share After tax</t>
  </si>
  <si>
    <t>total return(HKD)</t>
  </si>
  <si>
    <t>total return(USD)</t>
  </si>
  <si>
    <t>Average Dividend per month (HKD)</t>
  </si>
  <si>
    <t>return percentage</t>
  </si>
  <si>
    <t>Dividend Return</t>
  </si>
  <si>
    <t>Total Cost</t>
  </si>
  <si>
    <t>Total Value</t>
  </si>
  <si>
    <t>Ratio</t>
  </si>
  <si>
    <t>Cost</t>
  </si>
  <si>
    <t xml:space="preserve">CRCL </t>
  </si>
  <si>
    <t>NVDA</t>
  </si>
  <si>
    <t>Average Dividend per day (HKD)</t>
  </si>
  <si>
    <t>Average Dividend per Year(HKD)</t>
  </si>
  <si>
    <t>Monthly Gross / Share</t>
  </si>
  <si>
    <t>Average Dividend per month (USD)</t>
  </si>
  <si>
    <t>MSFT</t>
  </si>
  <si>
    <t>Bitcoin value</t>
  </si>
  <si>
    <t>Today</t>
  </si>
  <si>
    <t>SMH</t>
  </si>
  <si>
    <t>VRT</t>
  </si>
  <si>
    <t>CSPX.L</t>
  </si>
  <si>
    <t>DXYZ</t>
  </si>
  <si>
    <t>ALAB</t>
  </si>
  <si>
    <t>Nok</t>
  </si>
  <si>
    <t>Stock Ratio</t>
  </si>
  <si>
    <t>Pinoex</t>
  </si>
  <si>
    <t>Hashkey</t>
  </si>
  <si>
    <t>EQT</t>
  </si>
  <si>
    <t>MU</t>
  </si>
  <si>
    <t>Asset Increased %</t>
  </si>
  <si>
    <t>UFOD</t>
  </si>
  <si>
    <t>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</si>
</sst>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000"/>
    <numFmt numFmtId="168" formatCode="0.000"/>
    <numFmt numFmtId="169" formatCode="0.0000000000000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2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0" xfId="0" applyFont="1" applyFill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0" fontId="3" fillId="6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7" fontId="2" fillId="0" borderId="1" xfId="2" applyNumberFormat="1" applyFont="1" applyBorder="1" applyAlignment="1">
      <alignment vertical="center" wrapText="1"/>
    </xf>
    <xf numFmtId="167" fontId="3" fillId="0" borderId="1" xfId="2" applyNumberFormat="1" applyFont="1" applyBorder="1" applyAlignment="1">
      <alignment vertical="center" wrapText="1"/>
    </xf>
    <xf numFmtId="167" fontId="3" fillId="0" borderId="4" xfId="2" applyNumberFormat="1" applyFont="1" applyBorder="1" applyAlignment="1">
      <alignment vertical="center" wrapText="1"/>
    </xf>
    <xf numFmtId="167" fontId="3" fillId="2" borderId="1" xfId="2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7" fontId="3" fillId="6" borderId="1" xfId="0" applyNumberFormat="1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67" fontId="2" fillId="0" borderId="1" xfId="2" applyNumberFormat="1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0" fontId="2" fillId="0" borderId="4" xfId="1" applyNumberFormat="1" applyFont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167" fontId="2" fillId="0" borderId="1" xfId="0" applyNumberFormat="1" applyFont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167" fontId="2" fillId="2" borderId="1" xfId="2" applyNumberFormat="1" applyFont="1" applyFill="1" applyBorder="1" applyAlignment="1">
      <alignment vertical="center"/>
    </xf>
    <xf numFmtId="10" fontId="2" fillId="2" borderId="1" xfId="1" applyNumberFormat="1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5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5" xfId="2" applyFont="1" applyFill="1" applyBorder="1" applyAlignment="1">
      <alignment vertical="center"/>
    </xf>
    <xf numFmtId="10" fontId="2" fillId="0" borderId="5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2" fontId="2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/>
    </xf>
    <xf numFmtId="2" fontId="2" fillId="0" borderId="3" xfId="0" applyNumberFormat="1" applyFont="1" applyBorder="1" applyAlignment="1">
      <alignment vertical="center"/>
    </xf>
    <xf numFmtId="168" fontId="3" fillId="6" borderId="1" xfId="0" applyNumberFormat="1" applyFont="1" applyFill="1" applyBorder="1" applyAlignment="1">
      <alignment horizontal="center" vertical="center" wrapText="1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164" fontId="0" fillId="0" borderId="1" xfId="0" applyNumberFormat="1" applyBorder="1"/>
    <xf numFmtId="44" fontId="2" fillId="0" borderId="4" xfId="2" applyFont="1" applyFill="1" applyBorder="1" applyAlignment="1">
      <alignment vertical="center"/>
    </xf>
    <xf numFmtId="164" fontId="0" fillId="0" borderId="4" xfId="0" applyNumberFormat="1" applyBorder="1"/>
    <xf numFmtId="167" fontId="3" fillId="0" borderId="4" xfId="2" applyNumberFormat="1" applyFont="1" applyFill="1" applyBorder="1" applyAlignment="1">
      <alignment vertical="center" wrapText="1"/>
    </xf>
    <xf numFmtId="10" fontId="0" fillId="0" borderId="4" xfId="0" applyNumberFormat="1" applyBorder="1"/>
    <xf numFmtId="0" fontId="0" fillId="0" borderId="4" xfId="0" applyBorder="1"/>
    <xf numFmtId="167" fontId="3" fillId="0" borderId="1" xfId="2" applyNumberFormat="1" applyFont="1" applyFill="1" applyBorder="1" applyAlignment="1">
      <alignment vertical="center" wrapText="1"/>
    </xf>
    <xf numFmtId="10" fontId="0" fillId="0" borderId="1" xfId="0" applyNumberFormat="1" applyBorder="1"/>
    <xf numFmtId="0" fontId="2" fillId="4" borderId="1" xfId="0" applyFont="1" applyFill="1" applyBorder="1" applyAlignment="1">
      <alignment vertical="center"/>
    </xf>
    <xf numFmtId="167" fontId="2" fillId="4" borderId="1" xfId="0" applyNumberFormat="1" applyFont="1" applyFill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0" fontId="0" fillId="0" borderId="1" xfId="1" applyNumberFormat="1" applyFont="1" applyBorder="1"/>
    <xf numFmtId="169" fontId="0" fillId="0" borderId="0" xfId="0" applyNumberFormat="1"/>
    <xf numFmtId="9" fontId="2" fillId="4" borderId="1" xfId="1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10" fontId="0" fillId="0" borderId="1" xfId="1" applyNumberFormat="1" applyFont="1" applyFill="1" applyBorder="1"/>
    <xf numFmtId="44" fontId="0" fillId="0" borderId="0" xfId="0" applyNumberFormat="1"/>
    <xf numFmtId="9" fontId="0" fillId="0" borderId="1" xfId="1" applyFont="1" applyBorder="1"/>
    <xf numFmtId="0" fontId="3" fillId="6" borderId="1" xfId="0" applyFont="1" applyFill="1" applyBorder="1" applyAlignment="1">
      <alignment vertical="center" wrapText="1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K55"/>
  <sheetViews>
    <sheetView tabSelected="1" zoomScale="70" zoomScaleNormal="70" zoomScaleSheetLayoutView="100" workbookViewId="0">
      <selection activeCell="J35" sqref="J35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1.5703125" customWidth="1"/>
    <col min="5" max="5" width="23.140625" style="2" customWidth="1"/>
    <col min="6" max="6" width="30.42578125" customWidth="1"/>
    <col min="7" max="7" width="36.85546875" customWidth="1"/>
    <col min="8" max="8" width="23.42578125" customWidth="1"/>
    <col min="9" max="9" width="20.85546875" style="1" customWidth="1"/>
    <col min="10" max="10" width="26.42578125" customWidth="1"/>
    <col min="11" max="11" width="24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1" ht="30" x14ac:dyDescent="0.25">
      <c r="A1" s="4" t="s">
        <v>41</v>
      </c>
      <c r="B1" s="3" t="s">
        <v>2</v>
      </c>
      <c r="C1" s="4" t="s">
        <v>0</v>
      </c>
      <c r="D1" s="20" t="s">
        <v>7</v>
      </c>
      <c r="E1" s="4" t="s">
        <v>8</v>
      </c>
      <c r="F1" s="5" t="s">
        <v>30</v>
      </c>
      <c r="G1" s="49" t="s">
        <v>3</v>
      </c>
      <c r="H1" s="5" t="s">
        <v>16</v>
      </c>
      <c r="I1" s="5" t="s">
        <v>9</v>
      </c>
      <c r="J1" s="21" t="s">
        <v>10</v>
      </c>
      <c r="K1" s="6" t="s">
        <v>21</v>
      </c>
    </row>
    <row r="2" spans="1:11" x14ac:dyDescent="0.25">
      <c r="A2" s="26">
        <f>(E2/($E$16+$D$21+$B$25))</f>
        <v>6.4288485138908905E-2</v>
      </c>
      <c r="B2" s="7" t="s">
        <v>1</v>
      </c>
      <c r="C2" s="8">
        <v>6</v>
      </c>
      <c r="D2" s="22">
        <v>301.79500000000002</v>
      </c>
      <c r="E2" s="23">
        <f t="shared" ref="E2:E5" si="0">D2*C2</f>
        <v>1810.77</v>
      </c>
      <c r="F2" s="9">
        <v>0.193185</v>
      </c>
      <c r="G2" s="46">
        <v>0.3</v>
      </c>
      <c r="H2" s="24">
        <f>F2*0.7</f>
        <v>0.13522949999999997</v>
      </c>
      <c r="I2" s="10">
        <f t="shared" ref="I2:I5" si="1">F2*C2</f>
        <v>1.1591100000000001</v>
      </c>
      <c r="J2" s="24">
        <f>(1-G2)*I2</f>
        <v>0.81137700000000001</v>
      </c>
      <c r="K2" s="25">
        <f t="shared" ref="K2:K5" si="2">(H2*12)/D2</f>
        <v>5.3770075713646661E-3</v>
      </c>
    </row>
    <row r="3" spans="1:11" x14ac:dyDescent="0.25">
      <c r="A3" s="26">
        <f>(E3/($E$16+$D$21+$B$25))</f>
        <v>0.20049655544365286</v>
      </c>
      <c r="B3" s="7" t="s">
        <v>32</v>
      </c>
      <c r="C3" s="8">
        <v>14</v>
      </c>
      <c r="D3" s="22">
        <v>403.375</v>
      </c>
      <c r="E3" s="23">
        <f t="shared" si="0"/>
        <v>5647.25</v>
      </c>
      <c r="F3" s="9">
        <v>0.21</v>
      </c>
      <c r="G3" s="46">
        <v>0.3</v>
      </c>
      <c r="H3" s="24">
        <f>F3*0.9</f>
        <v>0.189</v>
      </c>
      <c r="I3" s="10">
        <f t="shared" si="1"/>
        <v>2.94</v>
      </c>
      <c r="J3" s="24">
        <f>(1-G3)*I3</f>
        <v>2.0579999999999998</v>
      </c>
      <c r="K3" s="25">
        <f t="shared" si="2"/>
        <v>5.6225596529284163E-3</v>
      </c>
    </row>
    <row r="4" spans="1:11" x14ac:dyDescent="0.25">
      <c r="A4" s="26">
        <f>(E4/($E$16+$D$21+$B$25))</f>
        <v>-1.4253903595469965E-3</v>
      </c>
      <c r="B4" s="7" t="s">
        <v>38</v>
      </c>
      <c r="C4" s="8">
        <v>2</v>
      </c>
      <c r="D4" s="22">
        <v>-20.074000000000002</v>
      </c>
      <c r="E4" s="23">
        <f t="shared" si="0"/>
        <v>-40.148000000000003</v>
      </c>
      <c r="F4" s="9">
        <v>0</v>
      </c>
      <c r="G4" s="46">
        <v>0.3</v>
      </c>
      <c r="H4" s="24">
        <f>F4*0.85</f>
        <v>0</v>
      </c>
      <c r="I4" s="10">
        <f t="shared" si="1"/>
        <v>0</v>
      </c>
      <c r="J4" s="24">
        <f>(1-G4)*I4</f>
        <v>0</v>
      </c>
      <c r="K4" s="25">
        <f t="shared" si="2"/>
        <v>0</v>
      </c>
    </row>
    <row r="5" spans="1:11" x14ac:dyDescent="0.25">
      <c r="A5" s="26">
        <f>(E5/($E$16+$D$21+$B$25))</f>
        <v>0.16691047063767747</v>
      </c>
      <c r="B5" s="7" t="s">
        <v>37</v>
      </c>
      <c r="C5" s="8">
        <v>6.4302000000000001</v>
      </c>
      <c r="D5" s="22">
        <v>731.12090000000001</v>
      </c>
      <c r="E5" s="23">
        <f t="shared" si="0"/>
        <v>4701.25361118</v>
      </c>
      <c r="F5" s="24">
        <v>0</v>
      </c>
      <c r="G5" s="46">
        <v>0.15</v>
      </c>
      <c r="H5" s="24">
        <v>0</v>
      </c>
      <c r="I5" s="10">
        <f t="shared" si="1"/>
        <v>0</v>
      </c>
      <c r="J5" s="24">
        <v>0</v>
      </c>
      <c r="K5" s="25">
        <f t="shared" si="2"/>
        <v>0</v>
      </c>
    </row>
    <row r="6" spans="1:11" x14ac:dyDescent="0.25">
      <c r="A6" s="26">
        <f>(E6/($E$16+$D$21+$B$25))</f>
        <v>1.2651990348913213E-2</v>
      </c>
      <c r="B6" s="7" t="s">
        <v>26</v>
      </c>
      <c r="C6" s="8">
        <v>4</v>
      </c>
      <c r="D6" s="28">
        <v>89.09</v>
      </c>
      <c r="E6" s="29">
        <f>D6*C6</f>
        <v>356.36</v>
      </c>
      <c r="F6" s="24">
        <v>0</v>
      </c>
      <c r="G6" s="47">
        <v>0.3</v>
      </c>
      <c r="H6" s="30">
        <v>0</v>
      </c>
      <c r="I6" s="11">
        <f>F6*C6</f>
        <v>0</v>
      </c>
      <c r="J6" s="24">
        <f>(1-G6)*I6</f>
        <v>0</v>
      </c>
      <c r="K6" s="25">
        <f>(H6*12)/D6</f>
        <v>0</v>
      </c>
    </row>
    <row r="7" spans="1:11" x14ac:dyDescent="0.25">
      <c r="A7" s="26">
        <f>(E7/($E$16+$D$21+$B$25))</f>
        <v>2.3159192117261473E-2</v>
      </c>
      <c r="B7" s="7" t="s">
        <v>27</v>
      </c>
      <c r="C7" s="8">
        <v>3.6</v>
      </c>
      <c r="D7" s="28">
        <v>181.197</v>
      </c>
      <c r="E7" s="29">
        <f>D7*C7</f>
        <v>652.30920000000003</v>
      </c>
      <c r="F7" s="24">
        <v>2.5000000000000001E-3</v>
      </c>
      <c r="G7" s="48">
        <v>0.3</v>
      </c>
      <c r="H7" s="24">
        <f>F7*0.7</f>
        <v>1.7499999999999998E-3</v>
      </c>
      <c r="I7" s="10">
        <f>F7*C7</f>
        <v>9.0000000000000011E-3</v>
      </c>
      <c r="J7" s="24">
        <f>(1-G7)*I7</f>
        <v>6.3E-3</v>
      </c>
      <c r="K7" s="25">
        <f>(H7*12)/D7</f>
        <v>1.1589595854235996E-4</v>
      </c>
    </row>
    <row r="8" spans="1:11" x14ac:dyDescent="0.25">
      <c r="A8" s="26">
        <f>(E8/($E$16+$D$21+$B$25))</f>
        <v>2.5720197665099448E-2</v>
      </c>
      <c r="B8" s="7" t="s">
        <v>35</v>
      </c>
      <c r="C8" s="58">
        <v>2.1</v>
      </c>
      <c r="D8" s="58">
        <v>344.97300000000001</v>
      </c>
      <c r="E8" s="54">
        <f>D8*C8</f>
        <v>724.44330000000002</v>
      </c>
      <c r="F8" s="55">
        <v>0</v>
      </c>
      <c r="G8" s="58">
        <v>0.3</v>
      </c>
      <c r="H8" s="58">
        <v>0</v>
      </c>
      <c r="I8" s="56">
        <f>F8*C8</f>
        <v>0</v>
      </c>
      <c r="J8" s="57">
        <f>(1-G8)*I8</f>
        <v>0</v>
      </c>
      <c r="K8" s="27">
        <f>(H8*12)/D8</f>
        <v>0</v>
      </c>
    </row>
    <row r="9" spans="1:11" x14ac:dyDescent="0.25">
      <c r="A9" s="26">
        <f>(E9/($E$16+$D$21+$B$25))</f>
        <v>7.456423316530343E-3</v>
      </c>
      <c r="B9" s="7" t="s">
        <v>36</v>
      </c>
      <c r="C9" s="8">
        <v>1</v>
      </c>
      <c r="D9" s="28">
        <v>210.02</v>
      </c>
      <c r="E9" s="29">
        <f>D9*C9</f>
        <v>210.02</v>
      </c>
      <c r="F9" s="53">
        <v>0</v>
      </c>
      <c r="G9" s="51">
        <v>0.3</v>
      </c>
      <c r="H9" s="51">
        <v>0</v>
      </c>
      <c r="I9" s="59">
        <f>F9*C9</f>
        <v>0</v>
      </c>
      <c r="J9" s="60">
        <v>0</v>
      </c>
      <c r="K9" s="64">
        <v>0</v>
      </c>
    </row>
    <row r="10" spans="1:11" x14ac:dyDescent="0.25">
      <c r="A10" s="26">
        <f>(E10/($E$16+$D$21+$B$25))</f>
        <v>3.0694461376565597E-2</v>
      </c>
      <c r="B10" s="7" t="s">
        <v>39</v>
      </c>
      <c r="C10" s="8">
        <v>5</v>
      </c>
      <c r="D10" s="28">
        <v>172.91</v>
      </c>
      <c r="E10" s="29">
        <f>D10*C10</f>
        <v>864.55</v>
      </c>
      <c r="F10" s="53">
        <v>0</v>
      </c>
      <c r="G10" s="51">
        <v>0.3</v>
      </c>
      <c r="H10" s="51">
        <v>0</v>
      </c>
      <c r="I10" s="59">
        <f>F10*C10</f>
        <v>0</v>
      </c>
      <c r="J10" s="60">
        <v>0</v>
      </c>
      <c r="K10" s="64">
        <v>0</v>
      </c>
    </row>
    <row r="11" spans="1:11" x14ac:dyDescent="0.25">
      <c r="A11" s="26">
        <f>(E11/($E$16+$D$21+$B$25))</f>
        <v>2.4168937114217838E-2</v>
      </c>
      <c r="B11" s="7" t="s">
        <v>40</v>
      </c>
      <c r="C11" s="8">
        <v>50</v>
      </c>
      <c r="D11" s="28">
        <v>13.615</v>
      </c>
      <c r="E11" s="53">
        <f>D11*C11</f>
        <v>680.75</v>
      </c>
      <c r="F11" s="53">
        <v>0</v>
      </c>
      <c r="G11" s="51">
        <v>0.3</v>
      </c>
      <c r="H11" s="51">
        <v>0</v>
      </c>
      <c r="I11" s="60">
        <f>F11*C11</f>
        <v>0</v>
      </c>
      <c r="J11" s="60">
        <v>0</v>
      </c>
      <c r="K11" s="64">
        <v>0</v>
      </c>
    </row>
    <row r="12" spans="1:11" x14ac:dyDescent="0.25">
      <c r="A12" s="26">
        <f>(E12/($E$16+$D$21+$B$25))</f>
        <v>5.2278751231268114E-2</v>
      </c>
      <c r="B12" s="7" t="s">
        <v>44</v>
      </c>
      <c r="C12" s="8">
        <v>25</v>
      </c>
      <c r="D12" s="28">
        <v>58.9</v>
      </c>
      <c r="E12" s="53">
        <f>D12*C12</f>
        <v>1472.5</v>
      </c>
      <c r="F12" s="53">
        <v>0</v>
      </c>
      <c r="G12" s="51">
        <v>0.3</v>
      </c>
      <c r="H12" s="51">
        <v>0</v>
      </c>
      <c r="I12" s="60">
        <f>F12*C12</f>
        <v>0</v>
      </c>
      <c r="J12" s="60">
        <v>0</v>
      </c>
      <c r="K12" s="68">
        <v>0</v>
      </c>
    </row>
    <row r="13" spans="1:11" x14ac:dyDescent="0.25">
      <c r="A13" s="26">
        <f>(E13/($E$16+$D$21+$B$25))</f>
        <v>1.9999773272392499E-2</v>
      </c>
      <c r="B13" s="7" t="s">
        <v>45</v>
      </c>
      <c r="C13" s="8">
        <v>1</v>
      </c>
      <c r="D13" s="28">
        <v>563.32000000000005</v>
      </c>
      <c r="E13" s="53">
        <f>D13*C13</f>
        <v>563.32000000000005</v>
      </c>
      <c r="F13" s="53">
        <v>0</v>
      </c>
      <c r="G13" s="51">
        <v>0.3</v>
      </c>
      <c r="H13" s="51">
        <v>0</v>
      </c>
      <c r="I13" s="60">
        <f>F13*C13</f>
        <v>0</v>
      </c>
      <c r="J13" s="60">
        <v>0</v>
      </c>
      <c r="K13" s="68">
        <v>0</v>
      </c>
    </row>
    <row r="14" spans="1:11" x14ac:dyDescent="0.25">
      <c r="A14" s="26">
        <f>(E14/($E$16+$D$21+$B$25))</f>
        <v>4.5391092325416826E-2</v>
      </c>
      <c r="B14" s="7" t="s">
        <v>47</v>
      </c>
      <c r="C14" s="8">
        <v>50</v>
      </c>
      <c r="D14" s="28">
        <v>25.57</v>
      </c>
      <c r="E14" s="53">
        <f>D14*C14</f>
        <v>1278.5</v>
      </c>
      <c r="F14" s="53">
        <v>0</v>
      </c>
      <c r="G14" s="51">
        <v>0.3</v>
      </c>
      <c r="H14" s="51">
        <v>0</v>
      </c>
      <c r="I14" s="60">
        <f>F14*C14</f>
        <v>0</v>
      </c>
      <c r="J14" s="60">
        <v>0</v>
      </c>
      <c r="K14" s="68">
        <v>0</v>
      </c>
    </row>
    <row r="15" spans="1:11" x14ac:dyDescent="0.25">
      <c r="A15" s="26">
        <f>(E15/($E$16+$D$21+$B$25))</f>
        <v>5.1077316296350553E-2</v>
      </c>
      <c r="B15" s="7" t="s">
        <v>48</v>
      </c>
      <c r="C15" s="8">
        <v>20</v>
      </c>
      <c r="D15" s="28">
        <v>71.933000000000007</v>
      </c>
      <c r="E15" s="53">
        <f>D15*C15</f>
        <v>1438.66</v>
      </c>
      <c r="F15" s="53">
        <v>0</v>
      </c>
      <c r="G15" s="51">
        <v>0.3</v>
      </c>
      <c r="H15" s="51">
        <v>0</v>
      </c>
      <c r="I15" s="60">
        <f>F15*C15</f>
        <v>0</v>
      </c>
      <c r="J15" s="60">
        <v>0</v>
      </c>
      <c r="K15" s="68">
        <v>0</v>
      </c>
    </row>
    <row r="16" spans="1:11" x14ac:dyDescent="0.25">
      <c r="A16" s="63"/>
      <c r="B16" s="71" t="s">
        <v>13</v>
      </c>
      <c r="C16" s="61"/>
      <c r="D16" s="61"/>
      <c r="E16" s="31">
        <f>SUM(E2:E15)</f>
        <v>20360.538111179998</v>
      </c>
      <c r="F16" s="62"/>
      <c r="G16" s="62"/>
      <c r="H16" s="62"/>
      <c r="I16" s="12">
        <f>SUM(I2:I11)</f>
        <v>4.1081099999999999</v>
      </c>
      <c r="J16" s="32">
        <f>SUM(J2:J9)</f>
        <v>2.875677</v>
      </c>
      <c r="K16" s="33">
        <f>(J16*12)/E16</f>
        <v>1.6948532406936508E-3</v>
      </c>
    </row>
    <row r="20" spans="1:11" x14ac:dyDescent="0.25">
      <c r="A20" s="36" t="s">
        <v>11</v>
      </c>
      <c r="B20" s="35" t="s">
        <v>5</v>
      </c>
      <c r="C20" s="13" t="s">
        <v>6</v>
      </c>
      <c r="D20" s="36" t="s">
        <v>25</v>
      </c>
      <c r="E20" s="15" t="s">
        <v>24</v>
      </c>
      <c r="G20" s="50"/>
      <c r="J20" s="17" t="s">
        <v>29</v>
      </c>
      <c r="K20" s="18">
        <f>K21*12</f>
        <v>268.47320472000001</v>
      </c>
    </row>
    <row r="21" spans="1:11" x14ac:dyDescent="0.25">
      <c r="A21" s="51" t="s">
        <v>42</v>
      </c>
      <c r="B21" s="18">
        <v>1.278341E-2</v>
      </c>
      <c r="C21" s="37">
        <v>76477.34</v>
      </c>
      <c r="D21" s="37">
        <f>C21*B21</f>
        <v>977.64119292939995</v>
      </c>
      <c r="E21" s="25">
        <f>D21/(E16+D21+D22+B25)</f>
        <v>3.455596828816606E-2</v>
      </c>
      <c r="G21" s="1"/>
      <c r="I21"/>
      <c r="J21" s="17" t="s">
        <v>19</v>
      </c>
      <c r="K21" s="18">
        <f>J16*7.78</f>
        <v>22.372767060000001</v>
      </c>
    </row>
    <row r="22" spans="1:11" x14ac:dyDescent="0.25">
      <c r="A22" s="18" t="s">
        <v>43</v>
      </c>
      <c r="B22" s="18">
        <v>1.5499999999999999E-3</v>
      </c>
      <c r="C22" s="23">
        <v>80780.710000000006</v>
      </c>
      <c r="D22" s="37">
        <f>C22*B22</f>
        <v>125.21010050000001</v>
      </c>
      <c r="E22" s="25">
        <f>D22/(E16+D21+D22+B25)</f>
        <v>4.4257098550352725E-3</v>
      </c>
      <c r="G22" s="65"/>
      <c r="J22" s="17" t="s">
        <v>28</v>
      </c>
      <c r="K22" s="18">
        <f>K21/30</f>
        <v>0.74575890200000006</v>
      </c>
    </row>
    <row r="24" spans="1:11" ht="12.75" customHeight="1" x14ac:dyDescent="0.25">
      <c r="A24" s="16"/>
      <c r="B24" s="36" t="s">
        <v>12</v>
      </c>
      <c r="C24" s="67" t="s">
        <v>24</v>
      </c>
      <c r="D24" s="16"/>
      <c r="E24" s="19"/>
    </row>
    <row r="25" spans="1:11" x14ac:dyDescent="0.25">
      <c r="A25" s="13" t="s">
        <v>4</v>
      </c>
      <c r="B25" s="14">
        <v>6828.14</v>
      </c>
      <c r="C25" s="66">
        <f>B25/(D21+E16+B25+D22)</f>
        <v>0.24134927109622872</v>
      </c>
      <c r="D25" s="39"/>
      <c r="E25" s="19"/>
    </row>
    <row r="26" spans="1:11" x14ac:dyDescent="0.25">
      <c r="A26" s="16"/>
      <c r="B26" s="16"/>
      <c r="D26" s="16"/>
      <c r="E26" s="19"/>
      <c r="F26" s="16"/>
      <c r="G26" s="16"/>
      <c r="I26" s="38"/>
    </row>
    <row r="27" spans="1:11" x14ac:dyDescent="0.25">
      <c r="A27" s="16"/>
      <c r="B27" s="40">
        <v>46057</v>
      </c>
      <c r="C27" s="40">
        <v>46086</v>
      </c>
      <c r="D27" s="40">
        <v>46120</v>
      </c>
      <c r="E27" s="40">
        <v>46147</v>
      </c>
      <c r="F27" s="40">
        <v>46177</v>
      </c>
      <c r="G27" s="40">
        <v>46207</v>
      </c>
      <c r="I27" s="31" t="s">
        <v>34</v>
      </c>
    </row>
    <row r="28" spans="1:11" x14ac:dyDescent="0.25">
      <c r="A28" s="17" t="s">
        <v>14</v>
      </c>
      <c r="B28" s="41">
        <v>21890.13</v>
      </c>
      <c r="C28" s="23">
        <v>23571.81</v>
      </c>
      <c r="D28" s="23">
        <v>24072.05</v>
      </c>
      <c r="E28" s="23">
        <v>25466.12</v>
      </c>
      <c r="F28" s="23"/>
      <c r="G28" s="23"/>
      <c r="I28" s="23">
        <v>25981.14</v>
      </c>
    </row>
    <row r="29" spans="1:11" x14ac:dyDescent="0.25">
      <c r="A29" s="17" t="s">
        <v>15</v>
      </c>
      <c r="B29" s="41">
        <v>141.21</v>
      </c>
      <c r="C29" s="23">
        <v>2536.0100000000002</v>
      </c>
      <c r="D29" s="23">
        <v>4103</v>
      </c>
      <c r="E29" s="23">
        <v>4994</v>
      </c>
      <c r="F29" s="23"/>
      <c r="G29" s="23"/>
      <c r="I29" s="23">
        <v>5129</v>
      </c>
    </row>
    <row r="30" spans="1:11" x14ac:dyDescent="0.25">
      <c r="A30" s="42" t="s">
        <v>33</v>
      </c>
      <c r="B30" s="41">
        <v>537.24</v>
      </c>
      <c r="C30" s="23">
        <v>694.79</v>
      </c>
      <c r="D30" s="23">
        <v>851.04</v>
      </c>
      <c r="E30" s="23">
        <v>1156.6400000000001</v>
      </c>
      <c r="F30" s="23"/>
      <c r="G30" s="23"/>
      <c r="I30" s="23">
        <f>(80745.77*B21)+(80745.77*B22)</f>
        <v>1157.3622271756999</v>
      </c>
    </row>
    <row r="31" spans="1:11" x14ac:dyDescent="0.25">
      <c r="A31" s="16"/>
      <c r="B31" s="16"/>
      <c r="C31" s="38"/>
      <c r="D31" s="34"/>
      <c r="E31" s="19"/>
      <c r="F31" s="16"/>
      <c r="G31" s="16"/>
      <c r="I31" s="38"/>
    </row>
    <row r="32" spans="1:11" x14ac:dyDescent="0.25">
      <c r="A32" s="17" t="s">
        <v>23</v>
      </c>
      <c r="B32" s="41">
        <v>22603.38</v>
      </c>
      <c r="C32" s="52">
        <f>SUM(C28:C30)</f>
        <v>26802.61</v>
      </c>
      <c r="D32" s="52">
        <f>SUM(D28:D30)</f>
        <v>29026.09</v>
      </c>
      <c r="E32" s="23">
        <v>31616.76</v>
      </c>
      <c r="F32" s="23"/>
      <c r="G32" s="23"/>
      <c r="I32" s="52">
        <f>SUM(I28:I30)</f>
        <v>32267.502227175701</v>
      </c>
      <c r="J32" s="69"/>
    </row>
    <row r="33" spans="1:9" x14ac:dyDescent="0.25">
      <c r="A33" s="17" t="s">
        <v>22</v>
      </c>
      <c r="B33" s="41">
        <v>20582.53</v>
      </c>
      <c r="C33" s="23">
        <v>23541.98</v>
      </c>
      <c r="D33" s="23">
        <v>26675.51</v>
      </c>
      <c r="E33" s="23">
        <v>27234.52</v>
      </c>
      <c r="F33" s="23"/>
      <c r="G33" s="23"/>
      <c r="H33" s="16"/>
      <c r="I33" s="23">
        <f>E16+D21+D22+B25</f>
        <v>28291.529404609399</v>
      </c>
    </row>
    <row r="34" spans="1:9" x14ac:dyDescent="0.25">
      <c r="A34" s="16"/>
      <c r="B34" s="16"/>
      <c r="C34" s="1"/>
      <c r="D34" s="34"/>
      <c r="E34" s="19"/>
      <c r="F34" s="16"/>
      <c r="G34" s="16"/>
    </row>
    <row r="35" spans="1:9" x14ac:dyDescent="0.25">
      <c r="A35" s="17" t="s">
        <v>18</v>
      </c>
      <c r="B35" s="43">
        <f>B32-B33</f>
        <v>2020.8500000000022</v>
      </c>
      <c r="C35" s="23">
        <f>C32-C33</f>
        <v>3260.630000000001</v>
      </c>
      <c r="D35" s="23">
        <f>D32-D33</f>
        <v>2350.5800000000017</v>
      </c>
      <c r="E35" s="23">
        <f>E32-E33</f>
        <v>4382.239999999998</v>
      </c>
      <c r="F35" s="23"/>
      <c r="G35" s="23"/>
      <c r="I35" s="23">
        <f>I32-I33</f>
        <v>3975.9728225663021</v>
      </c>
    </row>
    <row r="36" spans="1:9" x14ac:dyDescent="0.25">
      <c r="A36" s="17" t="s">
        <v>17</v>
      </c>
      <c r="B36" s="41">
        <f>B35*7.783</f>
        <v>15728.275550000018</v>
      </c>
      <c r="C36" s="23">
        <f>C35*7.8</f>
        <v>25432.914000000008</v>
      </c>
      <c r="D36" s="23">
        <f>D35*7.8</f>
        <v>18334.524000000012</v>
      </c>
      <c r="E36" s="23">
        <f>E35*7.8</f>
        <v>34181.47199999998</v>
      </c>
      <c r="F36" s="23"/>
      <c r="G36" s="23"/>
      <c r="I36" s="23">
        <f>I35*7.78</f>
        <v>30933.068559565832</v>
      </c>
    </row>
    <row r="37" spans="1:9" x14ac:dyDescent="0.25">
      <c r="A37" s="16"/>
      <c r="B37" s="16"/>
      <c r="C37" s="1"/>
      <c r="D37" s="1"/>
      <c r="E37" s="19"/>
      <c r="F37" s="16"/>
      <c r="G37" s="16"/>
    </row>
    <row r="38" spans="1:9" x14ac:dyDescent="0.25">
      <c r="A38" s="17" t="s">
        <v>31</v>
      </c>
      <c r="B38" s="41">
        <f>481.47/7.78</f>
        <v>61.885604113110539</v>
      </c>
      <c r="C38" s="23">
        <v>58.072699999999998</v>
      </c>
      <c r="D38" s="23">
        <v>58.072699999999998</v>
      </c>
      <c r="E38" s="23">
        <f>239.6/7.8</f>
        <v>30.717948717948719</v>
      </c>
      <c r="F38" s="23"/>
      <c r="G38" s="23"/>
      <c r="I38" s="23">
        <f>J16</f>
        <v>2.875677</v>
      </c>
    </row>
    <row r="39" spans="1:9" x14ac:dyDescent="0.25">
      <c r="A39" s="17" t="s">
        <v>19</v>
      </c>
      <c r="B39" s="41">
        <v>481.47</v>
      </c>
      <c r="C39" s="23">
        <v>451.81</v>
      </c>
      <c r="D39" s="23">
        <v>451.81</v>
      </c>
      <c r="E39" s="23">
        <v>239.6</v>
      </c>
      <c r="F39" s="23"/>
      <c r="G39" s="23"/>
      <c r="I39" s="23">
        <f>K21</f>
        <v>22.372767060000001</v>
      </c>
    </row>
    <row r="40" spans="1:9" x14ac:dyDescent="0.25">
      <c r="A40" s="17" t="s">
        <v>20</v>
      </c>
      <c r="B40" s="44">
        <f>((B35+B38)/B33)</f>
        <v>0.10118948468012014</v>
      </c>
      <c r="C40" s="25">
        <f>((C38+C35)/C33)</f>
        <v>0.14096956585639786</v>
      </c>
      <c r="D40" s="25">
        <f>((D38+D35)/D33)</f>
        <v>9.0294532325717561E-2</v>
      </c>
      <c r="E40" s="25">
        <f>((E38+E35)/E33)</f>
        <v>0.16203545899534658</v>
      </c>
      <c r="F40" s="45"/>
      <c r="G40" s="45"/>
      <c r="I40" s="25">
        <f>((I38+I35)/I33)</f>
        <v>0.14063744814439222</v>
      </c>
    </row>
    <row r="42" spans="1:9" x14ac:dyDescent="0.25">
      <c r="A42" s="17" t="s">
        <v>46</v>
      </c>
      <c r="B42" s="51"/>
      <c r="C42" s="70">
        <f>(C32-B32)/B33</f>
        <v>0.20401913661731574</v>
      </c>
      <c r="D42" s="70">
        <f t="shared" ref="D42:E42" si="3">(D32-C32)/C33</f>
        <v>9.4447450894104903E-2</v>
      </c>
      <c r="E42" s="70">
        <f t="shared" si="3"/>
        <v>9.7117918270353529E-2</v>
      </c>
      <c r="F42" s="51"/>
      <c r="G42" s="51"/>
    </row>
    <row r="53" spans="1:11" x14ac:dyDescent="0.25">
      <c r="A53" s="16"/>
      <c r="C53" s="16"/>
      <c r="E53" s="19"/>
      <c r="F53" s="16"/>
      <c r="G53" s="16"/>
      <c r="H53" s="16"/>
      <c r="I53" s="50"/>
      <c r="J53" s="16"/>
      <c r="K53" s="16"/>
    </row>
    <row r="54" spans="1:11" x14ac:dyDescent="0.25">
      <c r="I54" s="50"/>
    </row>
    <row r="55" spans="1:11" x14ac:dyDescent="0.25">
      <c r="I55" s="50"/>
    </row>
  </sheetData>
  <sortState xmlns:xlrd2="http://schemas.microsoft.com/office/spreadsheetml/2017/richdata2" ref="B2:L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2026-05-12T01:42:07Z</dcterms:modified>
</cp:coreProperties>
</file>