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2501A451-D3DD-4D61-A6D3-2079460483F6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2" l="1"/>
  <c r="G40" i="2"/>
  <c r="D44" i="2"/>
  <c r="E44" i="2"/>
  <c r="F44" i="2"/>
  <c r="G44" i="2"/>
  <c r="C44" i="2"/>
  <c r="F42" i="2"/>
  <c r="G37" i="2"/>
  <c r="G38" i="2"/>
  <c r="G42" i="2"/>
  <c r="H3" i="2"/>
  <c r="I34" i="2"/>
  <c r="I44" i="2" s="1"/>
  <c r="D18" i="2"/>
  <c r="D5" i="2"/>
  <c r="D17" i="2"/>
  <c r="D16" i="2"/>
  <c r="D6" i="2"/>
  <c r="D7" i="2"/>
  <c r="F37" i="2"/>
  <c r="F38" i="2" s="1"/>
  <c r="D3" i="2"/>
  <c r="D10" i="2"/>
  <c r="D9" i="2"/>
  <c r="E37" i="2"/>
  <c r="D23" i="2"/>
  <c r="D14" i="2"/>
  <c r="D15" i="2"/>
  <c r="D34" i="2"/>
  <c r="D37" i="2" s="1"/>
  <c r="D38" i="2" s="1"/>
  <c r="C34" i="2"/>
  <c r="C37" i="2" s="1"/>
  <c r="D4" i="2"/>
  <c r="D13" i="2"/>
  <c r="D12" i="2"/>
  <c r="D2" i="2"/>
  <c r="D22" i="2"/>
  <c r="D11" i="2"/>
  <c r="D8" i="2"/>
  <c r="D19" i="2" l="1"/>
  <c r="F40" i="2"/>
  <c r="C42" i="2"/>
  <c r="E42" i="2"/>
  <c r="D42" i="2"/>
  <c r="E38" i="2"/>
  <c r="C38" i="2"/>
  <c r="E17" i="2" l="1"/>
  <c r="E18" i="2"/>
  <c r="E5" i="2"/>
  <c r="C26" i="2"/>
  <c r="E22" i="2"/>
  <c r="E3" i="2"/>
  <c r="E4" i="2"/>
  <c r="E7" i="2"/>
  <c r="E8" i="2"/>
  <c r="E9" i="2"/>
  <c r="E10" i="2"/>
  <c r="E11" i="2"/>
  <c r="E12" i="2"/>
  <c r="E13" i="2"/>
  <c r="E15" i="2"/>
  <c r="E16" i="2"/>
  <c r="E6" i="2"/>
  <c r="E2" i="2"/>
  <c r="C27" i="2"/>
  <c r="E23" i="2"/>
  <c r="E14" i="2"/>
  <c r="I35" i="2"/>
  <c r="B37" i="2"/>
  <c r="B38" i="2" l="1"/>
  <c r="I37" i="2"/>
  <c r="I38" i="2" l="1"/>
  <c r="I40" i="2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<sst xmlns="http://schemas.openxmlformats.org/spreadsheetml/2006/main" count="49" uniqueCount="47">
  <si>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</si>
  <si>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</si>
  <si>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</si>
  <si>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</si>
  <si>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</si>
  <si>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</si>
  <si>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</si>
  <si>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</si>
  <si>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</si>
  <si>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</si>
  <si>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</si>
  <si>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</si>
  <si>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</si>
  <si>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</si>
  <si>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</si>
  <si>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</si>
  <si>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</si>
  <si>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</si>
  <si>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</si>
  <si>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</si>
  <si>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</si>
  <si>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</si>
  <si>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</si>
  <si>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</si>
  <si>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</si>
  <si>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</si>
  <si>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</si>
  <si>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</si>
  <si>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</si>
  <si>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</si>
  <si>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</si>
  <si>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</si>
  <si>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</si>
  <si>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</si>
  <si>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</si>
  <si>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</si>
  <si>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</si>
  <si>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</si>
  <si>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</si>
  <si>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</si>
  <si>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</si>
  <si>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</si>
  <si>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</si>
  <si>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</si>
  <si>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SGOV(in ib)</t>
  </si>
  <si>
    <t>SGOV(in webull)</t>
  </si>
  <si>
    <t>VSH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</si>
</sst>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3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3" xfId="2" applyFont="1" applyFill="1" applyBorder="1" applyAlignment="1">
      <alignment vertical="center"/>
    </xf>
    <xf numFmtId="10" fontId="2" fillId="0" borderId="3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67" fontId="2" fillId="4" borderId="1" xfId="1" applyNumberFormat="1" applyFont="1" applyFill="1" applyBorder="1" applyAlignment="1">
      <alignment vertical="center"/>
    </xf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0" fontId="3" fillId="5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166" fontId="2" fillId="0" borderId="4" xfId="2" applyNumberFormat="1" applyFont="1" applyFill="1" applyBorder="1" applyAlignment="1">
      <alignment vertical="center"/>
    </xf>
    <xf numFmtId="44" fontId="2" fillId="0" borderId="4" xfId="2" applyFont="1" applyFill="1" applyBorder="1" applyAlignment="1">
      <alignment vertical="center"/>
    </xf>
    <xf numFmtId="44" fontId="2" fillId="5" borderId="1" xfId="2" applyFont="1" applyFill="1" applyBorder="1" applyAlignment="1">
      <alignment vertical="center"/>
    </xf>
    <xf numFmtId="9" fontId="0" fillId="0" borderId="0" xfId="1" applyFont="1" applyBorder="1"/>
    <xf numFmtId="10" fontId="0" fillId="8" borderId="0" xfId="1" applyNumberFormat="1" applyFont="1" applyFill="1"/>
    <xf numFmtId="10" fontId="0" fillId="8" borderId="1" xfId="1" applyNumberFormat="1" applyFont="1" applyFill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H18" sqref="H18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4"/>
      <c r="H1" s="46" t="s">
        <v>41</v>
      </c>
      <c r="I1" s="48" t="s">
        <v>42</v>
      </c>
    </row>
    <row r="2" spans="1:121" x14ac:dyDescent="0.25">
      <c r="A2" s="4" t="s">
        <v>22</v>
      </c>
      <c r="B2" s="5">
        <v>6.4302000000000001</v>
      </c>
      <c r="C2" s="14">
        <v>731.12090000000001</v>
      </c>
      <c r="D2" s="15">
        <f t="shared" ref="D2:D7" si="0">C2*B2</f>
        <v>4701.25361118</v>
      </c>
      <c r="E2" s="17">
        <f t="shared" ref="E2:E18" si="1">D2/($D$19+$D$22+$D$23+$B$27+$B$26)</f>
        <v>9.1391694480095181E-2</v>
      </c>
      <c r="G2" s="45" t="s">
        <v>40</v>
      </c>
      <c r="H2" s="39">
        <v>301750</v>
      </c>
      <c r="I2" s="39">
        <v>207310</v>
      </c>
      <c r="M2" s="37"/>
    </row>
    <row r="3" spans="1:121" x14ac:dyDescent="0.25">
      <c r="A3" s="4" t="s">
        <v>32</v>
      </c>
      <c r="B3" s="5">
        <v>974.01310000000001</v>
      </c>
      <c r="C3" s="18">
        <v>18.533000000000001</v>
      </c>
      <c r="D3" s="19">
        <f t="shared" si="0"/>
        <v>18051.3847823</v>
      </c>
      <c r="E3" s="17">
        <f t="shared" si="1"/>
        <v>0.35091632560374036</v>
      </c>
      <c r="G3" s="45" t="s">
        <v>43</v>
      </c>
      <c r="H3" s="39">
        <f>8000+5000+8000+45000+136000+8000</f>
        <v>210000</v>
      </c>
      <c r="I3" s="39">
        <v>0</v>
      </c>
    </row>
    <row r="4" spans="1:121" x14ac:dyDescent="0.25">
      <c r="A4" s="4" t="s">
        <v>33</v>
      </c>
      <c r="B4" s="34">
        <v>3.1</v>
      </c>
      <c r="C4" s="34">
        <v>431.11099999999999</v>
      </c>
      <c r="D4" s="19">
        <f t="shared" si="0"/>
        <v>1336.4440999999999</v>
      </c>
      <c r="E4" s="17">
        <f t="shared" si="1"/>
        <v>2.5980281214029004E-2</v>
      </c>
      <c r="G4" s="33"/>
      <c r="H4" s="33"/>
      <c r="I4"/>
      <c r="J4" s="33"/>
      <c r="K4" s="33"/>
    </row>
    <row r="5" spans="1:121" x14ac:dyDescent="0.25">
      <c r="A5" s="49" t="s">
        <v>45</v>
      </c>
      <c r="B5">
        <v>9</v>
      </c>
      <c r="C5">
        <v>100.446</v>
      </c>
      <c r="D5" s="19">
        <f t="shared" si="0"/>
        <v>904.01400000000001</v>
      </c>
      <c r="E5" s="17">
        <f t="shared" si="1"/>
        <v>1.7573902224132843E-2</v>
      </c>
    </row>
    <row r="6" spans="1:121" x14ac:dyDescent="0.25">
      <c r="A6" s="4" t="s">
        <v>44</v>
      </c>
      <c r="B6" s="5">
        <v>24.005400000000002</v>
      </c>
      <c r="C6" s="18">
        <v>100.63</v>
      </c>
      <c r="D6" s="19">
        <f t="shared" si="0"/>
        <v>2415.6634020000001</v>
      </c>
      <c r="E6" s="17">
        <f t="shared" ref="E6:E15" si="2">D6/($D$19+$D$22+$D$23+$B$27+$B$26)</f>
        <v>4.6960149326408789E-2</v>
      </c>
    </row>
    <row r="7" spans="1:121" x14ac:dyDescent="0.25">
      <c r="A7" s="4" t="s">
        <v>34</v>
      </c>
      <c r="B7" s="5">
        <v>4.9870999999999999</v>
      </c>
      <c r="C7" s="18">
        <v>638.44000000000005</v>
      </c>
      <c r="D7" s="40">
        <f t="shared" si="0"/>
        <v>3183.9641240000001</v>
      </c>
      <c r="E7" s="17">
        <f t="shared" si="2"/>
        <v>6.1895804932581552E-2</v>
      </c>
      <c r="G7" s="33"/>
      <c r="H7" s="33"/>
      <c r="I7"/>
      <c r="J7" s="33"/>
      <c r="K7" s="33"/>
    </row>
    <row r="8" spans="1:121" x14ac:dyDescent="0.25">
      <c r="A8" s="4" t="s">
        <v>31</v>
      </c>
      <c r="B8" s="5">
        <v>6</v>
      </c>
      <c r="C8" s="14">
        <v>301.79500000000002</v>
      </c>
      <c r="D8" s="15">
        <f t="shared" ref="D8:D9" si="3">C8*B8</f>
        <v>1810.77</v>
      </c>
      <c r="E8" s="17">
        <f t="shared" si="2"/>
        <v>3.5201108534152155E-2</v>
      </c>
      <c r="G8" s="33"/>
      <c r="H8" s="33"/>
      <c r="I8"/>
      <c r="J8" s="33"/>
      <c r="K8" s="33"/>
    </row>
    <row r="9" spans="1:121" x14ac:dyDescent="0.25">
      <c r="A9" s="4" t="s">
        <v>26</v>
      </c>
      <c r="B9" s="5">
        <v>15</v>
      </c>
      <c r="C9" s="18">
        <v>71.781999999999996</v>
      </c>
      <c r="D9" s="39">
        <f t="shared" si="3"/>
        <v>1076.73</v>
      </c>
      <c r="E9" s="17">
        <f t="shared" si="2"/>
        <v>2.0931476439292485E-2</v>
      </c>
      <c r="M9" s="37"/>
    </row>
    <row r="10" spans="1:121" x14ac:dyDescent="0.25">
      <c r="A10" s="4" t="s">
        <v>28</v>
      </c>
      <c r="B10" s="5">
        <v>185</v>
      </c>
      <c r="C10" s="18">
        <v>15.927</v>
      </c>
      <c r="D10" s="40">
        <f>B10*C10</f>
        <v>2946.4949999999999</v>
      </c>
      <c r="E10" s="17">
        <f t="shared" si="2"/>
        <v>5.7279439293967019E-2</v>
      </c>
      <c r="G10" s="33"/>
      <c r="H10" s="33"/>
      <c r="I10"/>
      <c r="J10" s="33"/>
      <c r="K10" s="33"/>
    </row>
    <row r="11" spans="1:121" s="34" customFormat="1" x14ac:dyDescent="0.25">
      <c r="A11" s="4" t="s">
        <v>18</v>
      </c>
      <c r="B11" s="5">
        <v>18</v>
      </c>
      <c r="C11" s="14">
        <v>399.46600000000001</v>
      </c>
      <c r="D11" s="15">
        <f t="shared" ref="D11:D18" si="4">C11*B11</f>
        <v>7190.3879999999999</v>
      </c>
      <c r="E11" s="17">
        <f t="shared" si="2"/>
        <v>0.13978010923014259</v>
      </c>
      <c r="F11"/>
      <c r="G11" s="33"/>
      <c r="H11" s="33"/>
      <c r="I11"/>
      <c r="J11" s="33"/>
      <c r="K11" s="3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36</v>
      </c>
      <c r="B12" s="5">
        <v>10</v>
      </c>
      <c r="C12" s="18">
        <v>91.68</v>
      </c>
      <c r="D12" s="19">
        <f t="shared" si="4"/>
        <v>916.80000000000007</v>
      </c>
      <c r="E12" s="17">
        <f t="shared" si="2"/>
        <v>1.7822460226373699E-2</v>
      </c>
      <c r="J12" s="33"/>
      <c r="K12" s="33"/>
      <c r="L12" s="33"/>
    </row>
    <row r="13" spans="1:121" x14ac:dyDescent="0.25">
      <c r="A13" s="4" t="s">
        <v>17</v>
      </c>
      <c r="B13" s="5">
        <v>5.6</v>
      </c>
      <c r="C13" s="18">
        <v>196.43199999999999</v>
      </c>
      <c r="D13" s="19">
        <f t="shared" si="4"/>
        <v>1100.0192</v>
      </c>
      <c r="E13" s="17">
        <f t="shared" si="2"/>
        <v>2.138421513988592E-2</v>
      </c>
      <c r="J13" s="33"/>
      <c r="K13" s="33"/>
      <c r="L13" s="33"/>
    </row>
    <row r="14" spans="1:121" x14ac:dyDescent="0.25">
      <c r="A14" s="4" t="s">
        <v>23</v>
      </c>
      <c r="B14" s="5">
        <v>1</v>
      </c>
      <c r="C14" s="18">
        <v>0</v>
      </c>
      <c r="D14" s="19">
        <f t="shared" si="4"/>
        <v>0</v>
      </c>
      <c r="E14" s="17">
        <f t="shared" si="2"/>
        <v>0</v>
      </c>
      <c r="J14" s="33"/>
      <c r="K14" s="33"/>
      <c r="L14" s="33"/>
    </row>
    <row r="15" spans="1:121" ht="14.25" customHeight="1" x14ac:dyDescent="0.25">
      <c r="A15" s="4" t="s">
        <v>21</v>
      </c>
      <c r="B15" s="5">
        <v>1</v>
      </c>
      <c r="C15" s="18">
        <v>210.02</v>
      </c>
      <c r="D15" s="19">
        <f t="shared" si="4"/>
        <v>210.02</v>
      </c>
      <c r="E15" s="17">
        <f t="shared" si="2"/>
        <v>4.0827586133758767E-3</v>
      </c>
      <c r="G15" s="33"/>
      <c r="H15" s="33"/>
      <c r="I15"/>
      <c r="J15" s="33"/>
      <c r="K15" s="33"/>
      <c r="M15" s="37"/>
    </row>
    <row r="16" spans="1:121" x14ac:dyDescent="0.25">
      <c r="A16" s="4" t="s">
        <v>37</v>
      </c>
      <c r="B16" s="5">
        <v>8</v>
      </c>
      <c r="C16" s="18">
        <v>80.599999999999994</v>
      </c>
      <c r="D16" s="19">
        <f t="shared" si="4"/>
        <v>644.79999999999995</v>
      </c>
      <c r="E16" s="17">
        <f t="shared" si="1"/>
        <v>1.2534819321515881E-2</v>
      </c>
      <c r="J16" s="33"/>
      <c r="K16" s="33"/>
      <c r="L16" s="33"/>
    </row>
    <row r="17" spans="1:12" x14ac:dyDescent="0.25">
      <c r="A17" s="49" t="s">
        <v>27</v>
      </c>
      <c r="B17" s="50">
        <v>7</v>
      </c>
      <c r="C17" s="51">
        <v>284.97699999999998</v>
      </c>
      <c r="D17" s="52">
        <f t="shared" si="4"/>
        <v>1994.8389999999999</v>
      </c>
      <c r="E17" s="55">
        <f t="shared" si="1"/>
        <v>3.8779383437520812E-2</v>
      </c>
    </row>
    <row r="18" spans="1:12" x14ac:dyDescent="0.25">
      <c r="A18" s="4" t="s">
        <v>46</v>
      </c>
      <c r="B18" s="5">
        <v>1</v>
      </c>
      <c r="C18" s="18">
        <v>48.87</v>
      </c>
      <c r="D18" s="19">
        <f t="shared" si="4"/>
        <v>48.87</v>
      </c>
      <c r="E18" s="56">
        <f t="shared" si="1"/>
        <v>9.5002577581029942E-4</v>
      </c>
    </row>
    <row r="19" spans="1:12" x14ac:dyDescent="0.25">
      <c r="D19" s="20">
        <f>SUM(D2:D18)</f>
        <v>48532.455219480005</v>
      </c>
    </row>
    <row r="20" spans="1:12" x14ac:dyDescent="0.25">
      <c r="A20" s="41" t="s">
        <v>8</v>
      </c>
      <c r="B20" s="42"/>
      <c r="C20" s="42"/>
      <c r="E20" s="34"/>
    </row>
    <row r="21" spans="1:12" x14ac:dyDescent="0.25">
      <c r="A21" s="23" t="s">
        <v>6</v>
      </c>
      <c r="B21" s="22" t="s">
        <v>2</v>
      </c>
      <c r="C21" s="6" t="s">
        <v>3</v>
      </c>
      <c r="D21" s="23" t="s">
        <v>16</v>
      </c>
      <c r="E21" s="8" t="s">
        <v>15</v>
      </c>
      <c r="J21" s="33"/>
      <c r="K21" s="33"/>
      <c r="L21" s="33"/>
    </row>
    <row r="22" spans="1:12" x14ac:dyDescent="0.25">
      <c r="A22" s="34" t="s">
        <v>24</v>
      </c>
      <c r="B22" s="11">
        <v>1.278341E-2</v>
      </c>
      <c r="C22" s="24">
        <v>76477.34</v>
      </c>
      <c r="D22" s="24">
        <f>C22*B22</f>
        <v>977.64119292939995</v>
      </c>
      <c r="E22" s="16">
        <f>D22/(D19+D22+D23+B26+B72)</f>
        <v>1.9025001984153092E-2</v>
      </c>
      <c r="H22" s="47"/>
      <c r="J22" s="33"/>
      <c r="K22" s="33"/>
      <c r="L22" s="33"/>
    </row>
    <row r="23" spans="1:12" x14ac:dyDescent="0.25">
      <c r="A23" s="11" t="s">
        <v>25</v>
      </c>
      <c r="B23" s="11">
        <v>5.4400000000000004E-3</v>
      </c>
      <c r="C23" s="15">
        <v>69132.929999999993</v>
      </c>
      <c r="D23" s="24">
        <f>C23*B23</f>
        <v>376.08313920000001</v>
      </c>
      <c r="E23" s="16">
        <f>D23/(D19+D22+D23+B26+B27)</f>
        <v>7.3110021708134411E-3</v>
      </c>
      <c r="J23" s="33"/>
      <c r="K23" s="33"/>
      <c r="L23" s="33"/>
    </row>
    <row r="24" spans="1:12" ht="12.75" customHeight="1" x14ac:dyDescent="0.25">
      <c r="J24" s="33"/>
      <c r="K24" s="33"/>
      <c r="L24" s="33"/>
    </row>
    <row r="25" spans="1:12" x14ac:dyDescent="0.25">
      <c r="B25" s="23" t="s">
        <v>7</v>
      </c>
      <c r="C25" s="36" t="s">
        <v>15</v>
      </c>
      <c r="D25" s="9"/>
      <c r="E25" s="12"/>
      <c r="J25" s="33"/>
      <c r="K25" s="33"/>
      <c r="L25" s="33"/>
    </row>
    <row r="26" spans="1:12" x14ac:dyDescent="0.25">
      <c r="A26" s="6" t="s">
        <v>38</v>
      </c>
      <c r="B26" s="7">
        <v>1501</v>
      </c>
      <c r="C26" s="43">
        <f>B26/(D19+B27)</f>
        <v>3.089368247282533E-2</v>
      </c>
      <c r="D26" s="26"/>
      <c r="E26" s="12"/>
      <c r="I26" s="33"/>
      <c r="J26" s="33"/>
      <c r="K26" s="33"/>
    </row>
    <row r="27" spans="1:12" x14ac:dyDescent="0.25">
      <c r="A27" s="6" t="s">
        <v>39</v>
      </c>
      <c r="B27" s="7">
        <v>53.53</v>
      </c>
      <c r="C27" s="43">
        <f>B27/D19</f>
        <v>1.1029732528041168E-3</v>
      </c>
      <c r="D27" s="26"/>
      <c r="E27" s="12"/>
      <c r="I27" s="33"/>
      <c r="J27" s="33"/>
      <c r="K27" s="33"/>
    </row>
    <row r="28" spans="1:12" x14ac:dyDescent="0.25">
      <c r="J28" s="33"/>
      <c r="K28" s="33"/>
    </row>
    <row r="29" spans="1:12" x14ac:dyDescent="0.25">
      <c r="B29" s="27">
        <v>46057</v>
      </c>
      <c r="C29" s="27">
        <v>46086</v>
      </c>
      <c r="D29" s="27">
        <v>46120</v>
      </c>
      <c r="E29" s="27">
        <v>46147</v>
      </c>
      <c r="F29" s="27">
        <v>46184</v>
      </c>
      <c r="G29" s="27">
        <v>46210</v>
      </c>
      <c r="I29" s="20" t="s">
        <v>20</v>
      </c>
      <c r="J29" s="33"/>
      <c r="K29" s="33"/>
    </row>
    <row r="30" spans="1:12" x14ac:dyDescent="0.25">
      <c r="A30" s="10" t="s">
        <v>9</v>
      </c>
      <c r="B30" s="28">
        <v>21890.13</v>
      </c>
      <c r="C30" s="15">
        <v>23571.81</v>
      </c>
      <c r="D30" s="15">
        <v>24072.05</v>
      </c>
      <c r="E30" s="15">
        <v>25466.12</v>
      </c>
      <c r="F30" s="15">
        <v>21348.19</v>
      </c>
      <c r="G30" s="15">
        <v>21287.19</v>
      </c>
      <c r="I30" s="15">
        <v>21104.43</v>
      </c>
      <c r="J30" s="33"/>
      <c r="K30" s="33"/>
    </row>
    <row r="31" spans="1:12" s="33" customFormat="1" x14ac:dyDescent="0.25">
      <c r="A31" s="53" t="s">
        <v>35</v>
      </c>
      <c r="B31" s="28">
        <v>141.21</v>
      </c>
      <c r="C31" s="15">
        <v>2536.0100000000002</v>
      </c>
      <c r="D31" s="15">
        <v>4103</v>
      </c>
      <c r="E31" s="15">
        <v>4994</v>
      </c>
      <c r="F31" s="15">
        <v>6141.14</v>
      </c>
      <c r="G31" s="15">
        <v>30268.1</v>
      </c>
      <c r="I31" s="15">
        <v>29925</v>
      </c>
    </row>
    <row r="32" spans="1:12" x14ac:dyDescent="0.25">
      <c r="A32" s="29" t="s">
        <v>19</v>
      </c>
      <c r="B32" s="28">
        <v>537.24</v>
      </c>
      <c r="C32" s="15">
        <v>694.79</v>
      </c>
      <c r="D32" s="15">
        <v>851.04</v>
      </c>
      <c r="E32" s="15">
        <v>1156.6400000000001</v>
      </c>
      <c r="F32" s="15">
        <v>1014.79742</v>
      </c>
      <c r="G32" s="15">
        <v>1164.81</v>
      </c>
      <c r="I32" s="15">
        <f>62537.97*B23+62537.97*B22</f>
        <v>1139.6550678777</v>
      </c>
      <c r="J32" s="33"/>
      <c r="K32" s="33"/>
    </row>
    <row r="33" spans="1:10" x14ac:dyDescent="0.25">
      <c r="A33" s="9"/>
      <c r="B33" s="9"/>
      <c r="C33" s="25"/>
      <c r="D33" s="21"/>
      <c r="E33" s="12"/>
      <c r="F33" s="9"/>
      <c r="G33" s="9"/>
      <c r="I33" s="25"/>
    </row>
    <row r="34" spans="1:10" x14ac:dyDescent="0.25">
      <c r="A34" s="10" t="s">
        <v>14</v>
      </c>
      <c r="B34" s="28">
        <v>22603.38</v>
      </c>
      <c r="C34" s="35">
        <f>SUM(C30:C32)</f>
        <v>26802.61</v>
      </c>
      <c r="D34" s="35">
        <f>SUM(D30:D32)</f>
        <v>29026.09</v>
      </c>
      <c r="E34" s="15">
        <v>31616.76</v>
      </c>
      <c r="F34" s="15">
        <v>28504.13</v>
      </c>
      <c r="G34" s="15">
        <v>52720.1</v>
      </c>
      <c r="I34" s="35">
        <f>SUM(I30:I32)</f>
        <v>52169.085067877699</v>
      </c>
    </row>
    <row r="35" spans="1:10" x14ac:dyDescent="0.25">
      <c r="A35" s="10" t="s">
        <v>13</v>
      </c>
      <c r="B35" s="28">
        <v>20582.53</v>
      </c>
      <c r="C35" s="15">
        <v>23541.98</v>
      </c>
      <c r="D35" s="15">
        <v>26675.51</v>
      </c>
      <c r="E35" s="15">
        <v>27234.52</v>
      </c>
      <c r="F35" s="15">
        <v>28277.200000000001</v>
      </c>
      <c r="G35" s="15">
        <v>51387.18</v>
      </c>
      <c r="H35" s="9"/>
      <c r="I35" s="15">
        <f>D19+D22+D23+B26</f>
        <v>51387.179551609399</v>
      </c>
    </row>
    <row r="36" spans="1:10" x14ac:dyDescent="0.25">
      <c r="A36" s="9"/>
      <c r="B36" s="9"/>
      <c r="C36" s="1"/>
      <c r="D36" s="21"/>
      <c r="E36" s="12"/>
      <c r="F36" s="9"/>
      <c r="G36" s="9"/>
    </row>
    <row r="37" spans="1:10" x14ac:dyDescent="0.25">
      <c r="A37" s="10" t="s">
        <v>11</v>
      </c>
      <c r="B37" s="30">
        <f t="shared" ref="B37:G37" si="5">B34-B35</f>
        <v>2020.8500000000022</v>
      </c>
      <c r="C37" s="15">
        <f t="shared" si="5"/>
        <v>3260.630000000001</v>
      </c>
      <c r="D37" s="15">
        <f t="shared" si="5"/>
        <v>2350.5800000000017</v>
      </c>
      <c r="E37" s="15">
        <f t="shared" si="5"/>
        <v>4382.239999999998</v>
      </c>
      <c r="F37" s="15">
        <f t="shared" si="5"/>
        <v>226.93000000000029</v>
      </c>
      <c r="G37" s="15">
        <f t="shared" si="5"/>
        <v>1332.9199999999983</v>
      </c>
      <c r="I37" s="15">
        <f>I34-I35</f>
        <v>781.90551626829983</v>
      </c>
    </row>
    <row r="38" spans="1:10" x14ac:dyDescent="0.25">
      <c r="A38" s="10" t="s">
        <v>10</v>
      </c>
      <c r="B38" s="28">
        <f>B37*7.783</f>
        <v>15728.275550000018</v>
      </c>
      <c r="C38" s="15">
        <f>C37*7.8</f>
        <v>25432.914000000008</v>
      </c>
      <c r="D38" s="15">
        <f>D37*7.8</f>
        <v>18334.524000000012</v>
      </c>
      <c r="E38" s="15">
        <f>E37*7.8</f>
        <v>34181.47199999998</v>
      </c>
      <c r="F38" s="15">
        <f>F37*7.8</f>
        <v>1770.0540000000021</v>
      </c>
      <c r="G38" s="15">
        <f>G37*7.8</f>
        <v>10396.775999999985</v>
      </c>
      <c r="I38" s="15">
        <f>I37*7.8</f>
        <v>6098.8630268927382</v>
      </c>
      <c r="J38" s="37"/>
    </row>
    <row r="39" spans="1:10" x14ac:dyDescent="0.25">
      <c r="A39" s="9"/>
      <c r="B39" s="9"/>
      <c r="C39" s="1"/>
      <c r="D39" s="1"/>
      <c r="E39" s="12"/>
      <c r="F39" s="9"/>
      <c r="G39" s="9"/>
    </row>
    <row r="40" spans="1:10" x14ac:dyDescent="0.25">
      <c r="A40" s="10" t="s">
        <v>12</v>
      </c>
      <c r="B40" s="31">
        <v>0.1012</v>
      </c>
      <c r="C40" s="16">
        <v>0.14099999999999999</v>
      </c>
      <c r="D40" s="16">
        <v>9.0300000000000005E-2</v>
      </c>
      <c r="E40" s="16">
        <v>0.16200000000000001</v>
      </c>
      <c r="F40" s="32">
        <f>(F37/F35)</f>
        <v>8.0251934420664094E-3</v>
      </c>
      <c r="G40" s="32">
        <f>(G37/G35)</f>
        <v>2.5938765271805112E-2</v>
      </c>
      <c r="I40" s="16">
        <f>(I37/I35)</f>
        <v>1.5215964820233284E-2</v>
      </c>
    </row>
    <row r="42" spans="1:10" x14ac:dyDescent="0.25">
      <c r="A42" s="10" t="s">
        <v>30</v>
      </c>
      <c r="B42" s="34"/>
      <c r="C42" s="38">
        <f>(C34-B34)/B35</f>
        <v>0.20401913661731574</v>
      </c>
      <c r="D42" s="38">
        <f>(D34-C34)/C35</f>
        <v>9.4447450894104903E-2</v>
      </c>
      <c r="E42" s="38">
        <f>(E34-D34)/D35</f>
        <v>9.7117918270353529E-2</v>
      </c>
      <c r="F42" s="38">
        <f>(F34-E34)/E35</f>
        <v>-0.11428987916805573</v>
      </c>
      <c r="G42" s="38">
        <f>(G34-F34)/F35</f>
        <v>0.85637792992234019</v>
      </c>
      <c r="I42" s="54"/>
    </row>
    <row r="44" spans="1:10" x14ac:dyDescent="0.25">
      <c r="A44" s="44" t="s">
        <v>29</v>
      </c>
      <c r="B44" s="34">
        <v>0</v>
      </c>
      <c r="C44" s="38">
        <f>(C34-$B$34)/$B$34</f>
        <v>0.18577885254329218</v>
      </c>
      <c r="D44" s="38">
        <f t="shared" ref="D44:I44" si="6">(D34-$B$34)/$B$34</f>
        <v>0.2841482114621795</v>
      </c>
      <c r="E44" s="38">
        <f t="shared" si="6"/>
        <v>0.39876248596448838</v>
      </c>
      <c r="F44" s="38">
        <f t="shared" si="6"/>
        <v>0.26105608984143081</v>
      </c>
      <c r="G44" s="38">
        <f t="shared" si="6"/>
        <v>1.3323989598015871</v>
      </c>
      <c r="H44" s="54"/>
      <c r="I44" s="38">
        <f t="shared" si="6"/>
        <v>1.3080214139601112</v>
      </c>
    </row>
    <row r="53" spans="1:11" x14ac:dyDescent="0.25">
      <c r="A53" s="9"/>
      <c r="C53" s="9"/>
      <c r="E53" s="12"/>
      <c r="F53" s="9"/>
      <c r="G53" s="9"/>
      <c r="H53" s="9"/>
      <c r="I53" s="33"/>
      <c r="J53" s="9"/>
      <c r="K53" s="9"/>
    </row>
    <row r="54" spans="1:11" x14ac:dyDescent="0.25">
      <c r="I54" s="33"/>
    </row>
    <row r="55" spans="1:11" x14ac:dyDescent="0.25">
      <c r="I55" s="33"/>
    </row>
  </sheetData>
  <autoFilter ref="E1:E16" xr:uid="{280FFEA0-C244-4411-A4EA-E725FEE5A5C2}">
    <sortState xmlns:xlrd2="http://schemas.microsoft.com/office/spreadsheetml/2017/richdata2" ref="A2:E17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2026-07-09T06:12:31Z</dcterms:modified>
</cp:coreProperties>
</file>