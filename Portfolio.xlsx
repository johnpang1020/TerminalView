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ohn.hcpang\Documents\Practice\"/>
    </mc:Choice>
  </mc:AlternateContent>
  <xr:revisionPtr revIDLastSave="0" documentId="13_ncr:1_{848F57F7-3B72-4DF8-8E59-EBF6FDF7FCFC}" xr6:coauthVersionLast="47" xr6:coauthVersionMax="47" xr10:uidLastSave="{00000000-0000-0000-0000-000000000000}"/>
  <bookViews>
    <workbookView xWindow="-120" yWindow="-120" windowWidth="29040" windowHeight="15840" xr2:uid="{E7CDDCE8-D664-4969-9A02-FA9A05E60C5E}"/>
  </bookViews>
  <sheets>
    <sheet name="Portfolio" sheetId="2" r:id="rId1"/>
  </sheets>
  <definedNames>
    <definedName name="_xlnm._FilterDatabase" localSheetId="0" hidden="1">Portfolio!$E$1:$E$22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2" l="1"/>
  <c r="I37" i="2"/>
  <c r="D18" i="2"/>
  <c r="E46" i="2"/>
  <c r="F46" i="2"/>
  <c r="G46" i="2"/>
  <c r="C46" i="2"/>
  <c r="F44" i="2"/>
  <c r="G39" i="2"/>
  <c r="G40" i="2" s="1"/>
  <c r="G44" i="2"/>
  <c r="H3" i="2"/>
  <c r="I36" i="2"/>
  <c r="I46" i="2" s="1"/>
  <c r="D19" i="2"/>
  <c r="D5" i="2"/>
  <c r="D17" i="2"/>
  <c r="D16" i="2"/>
  <c r="D6" i="2"/>
  <c r="D7" i="2"/>
  <c r="F39" i="2"/>
  <c r="F40" i="2" s="1"/>
  <c r="D3" i="2"/>
  <c r="D10" i="2"/>
  <c r="D9" i="2"/>
  <c r="E39" i="2"/>
  <c r="D25" i="2"/>
  <c r="D14" i="2"/>
  <c r="D15" i="2"/>
  <c r="D36" i="2"/>
  <c r="D39" i="2" s="1"/>
  <c r="D40" i="2" s="1"/>
  <c r="C36" i="2"/>
  <c r="C39" i="2" s="1"/>
  <c r="D4" i="2"/>
  <c r="D13" i="2"/>
  <c r="D12" i="2"/>
  <c r="D2" i="2"/>
  <c r="D24" i="2"/>
  <c r="D11" i="2"/>
  <c r="D8" i="2"/>
  <c r="D46" i="2" l="1"/>
  <c r="G42" i="2"/>
  <c r="D20" i="2"/>
  <c r="E18" i="2" s="1"/>
  <c r="F42" i="2"/>
  <c r="C44" i="2"/>
  <c r="E44" i="2"/>
  <c r="D44" i="2"/>
  <c r="E40" i="2"/>
  <c r="C40" i="2"/>
  <c r="E17" i="2" l="1"/>
  <c r="E19" i="2"/>
  <c r="E5" i="2"/>
  <c r="C28" i="2"/>
  <c r="E24" i="2"/>
  <c r="E3" i="2"/>
  <c r="E4" i="2"/>
  <c r="E7" i="2"/>
  <c r="E8" i="2"/>
  <c r="E9" i="2"/>
  <c r="E10" i="2"/>
  <c r="E11" i="2"/>
  <c r="E12" i="2"/>
  <c r="E13" i="2"/>
  <c r="E15" i="2"/>
  <c r="E16" i="2"/>
  <c r="E6" i="2"/>
  <c r="E2" i="2"/>
  <c r="C29" i="2"/>
  <c r="E25" i="2"/>
  <c r="E14" i="2"/>
  <c r="B39" i="2"/>
  <c r="B40" i="2" l="1"/>
  <c r="I39" i="2"/>
  <c r="I40" i="2" l="1"/>
  <c r="I42" i="2"/>
</calcChain>
</file>

<file path=xl/sharedStrings.xml><?xml version="1.0" encoding="utf-8"?>
<sst xmlns="http://schemas.openxmlformats.org/spreadsheetml/2006/main" count="50" uniqueCount="48">
  <si>
    <t>Shares</t>
  </si>
  <si>
    <t>Stock</t>
  </si>
  <si>
    <t>Amount</t>
  </si>
  <si>
    <t>Average cost</t>
  </si>
  <si>
    <t>Cost per share(USD)</t>
  </si>
  <si>
    <t>Total Cost(USD)</t>
  </si>
  <si>
    <t>Bitcoin</t>
  </si>
  <si>
    <t>Value</t>
  </si>
  <si>
    <t>Total</t>
  </si>
  <si>
    <t>Webull wallet value</t>
  </si>
  <si>
    <t>total return(HKD)</t>
  </si>
  <si>
    <t>total return(USD)</t>
  </si>
  <si>
    <t>return percentage</t>
  </si>
  <si>
    <t>Total Cost</t>
  </si>
  <si>
    <t>Total Value</t>
  </si>
  <si>
    <t>Ratio</t>
  </si>
  <si>
    <t>Cost</t>
  </si>
  <si>
    <t>NVDA</t>
  </si>
  <si>
    <t>MSFT</t>
  </si>
  <si>
    <t>Bitcoin value</t>
  </si>
  <si>
    <t>Today</t>
  </si>
  <si>
    <t>VRT</t>
  </si>
  <si>
    <t>CSPX.L</t>
  </si>
  <si>
    <t>ALAB</t>
  </si>
  <si>
    <t>Pinoex</t>
  </si>
  <si>
    <t>Hashkey</t>
  </si>
  <si>
    <t>SEI</t>
  </si>
  <si>
    <t>IBM</t>
  </si>
  <si>
    <t>NOK</t>
  </si>
  <si>
    <t>Total Changed %</t>
  </si>
  <si>
    <t>Asset Increased From Last month%</t>
  </si>
  <si>
    <t>TSM</t>
  </si>
  <si>
    <t>SPYL.L</t>
  </si>
  <si>
    <t>SMH(in wellbull)</t>
  </si>
  <si>
    <t>SMH(in IB)</t>
  </si>
  <si>
    <t>ibkr wallet value</t>
  </si>
  <si>
    <t>CRCL</t>
  </si>
  <si>
    <t>DRAM</t>
  </si>
  <si>
    <t>CASH(USD)(IB)</t>
  </si>
  <si>
    <t>CASH(USD)(WEBUll)</t>
  </si>
  <si>
    <t xml:space="preserve">Webull </t>
  </si>
  <si>
    <t>Cash In (HKD)</t>
  </si>
  <si>
    <t>Cash Out (HKD)</t>
  </si>
  <si>
    <t>Ibkr</t>
  </si>
  <si>
    <t>SGOV(in ib)</t>
  </si>
  <si>
    <t>SGOV(in webull)</t>
  </si>
  <si>
    <t>VSH</t>
  </si>
  <si>
    <t>CEG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</si>
</sst>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000"/>
    <numFmt numFmtId="165" formatCode="_([$$-409]* #,##0.00_);_([$$-409]* \(#,##0.00\);_([$$-409]* &quot;-&quot;??_);_(@_)"/>
    <numFmt numFmtId="166" formatCode="_(&quot;$&quot;* #,##0.000_);_(&quot;$&quot;* \(#,##0.000\);_(&quot;$&quot;* &quot;-&quot;??_);_(@_)"/>
    <numFmt numFmtId="167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badi"/>
      <family val="2"/>
    </font>
    <font>
      <b/>
      <sz val="11"/>
      <color theme="1"/>
      <name val="Abadi"/>
      <family val="2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3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44" fontId="2" fillId="0" borderId="1" xfId="2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6" borderId="1" xfId="0" applyFont="1" applyFill="1" applyBorder="1" applyAlignment="1">
      <alignment vertical="center"/>
    </xf>
    <xf numFmtId="166" fontId="2" fillId="0" borderId="1" xfId="2" applyNumberFormat="1" applyFont="1" applyBorder="1" applyAlignment="1">
      <alignment vertical="center"/>
    </xf>
    <xf numFmtId="44" fontId="2" fillId="0" borderId="1" xfId="2" applyFont="1" applyBorder="1" applyAlignment="1">
      <alignment vertical="center"/>
    </xf>
    <xf numFmtId="10" fontId="2" fillId="0" borderId="1" xfId="1" applyNumberFormat="1" applyFont="1" applyBorder="1" applyAlignment="1">
      <alignment vertical="center"/>
    </xf>
    <xf numFmtId="10" fontId="2" fillId="7" borderId="1" xfId="1" applyNumberFormat="1" applyFont="1" applyFill="1" applyBorder="1" applyAlignment="1">
      <alignment vertical="center"/>
    </xf>
    <xf numFmtId="166" fontId="2" fillId="0" borderId="1" xfId="2" applyNumberFormat="1" applyFont="1" applyFill="1" applyBorder="1" applyAlignment="1">
      <alignment vertical="center"/>
    </xf>
    <xf numFmtId="44" fontId="2" fillId="0" borderId="1" xfId="2" applyFont="1" applyFill="1" applyBorder="1" applyAlignment="1">
      <alignment vertical="center"/>
    </xf>
    <xf numFmtId="44" fontId="2" fillId="2" borderId="1" xfId="2" applyFont="1" applyFill="1" applyBorder="1" applyAlignment="1">
      <alignment vertical="center"/>
    </xf>
    <xf numFmtId="44" fontId="2" fillId="0" borderId="0" xfId="0" applyNumberFormat="1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5" fontId="2" fillId="0" borderId="1" xfId="2" applyNumberFormat="1" applyFont="1" applyBorder="1" applyAlignment="1">
      <alignment vertical="center"/>
    </xf>
    <xf numFmtId="44" fontId="2" fillId="0" borderId="0" xfId="2" applyFont="1" applyAlignment="1">
      <alignment vertical="center"/>
    </xf>
    <xf numFmtId="0" fontId="3" fillId="0" borderId="0" xfId="0" applyFont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44" fontId="2" fillId="0" borderId="3" xfId="2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44" fontId="2" fillId="4" borderId="3" xfId="2" applyFont="1" applyFill="1" applyBorder="1" applyAlignment="1">
      <alignment vertical="center"/>
    </xf>
    <xf numFmtId="10" fontId="2" fillId="0" borderId="3" xfId="1" applyNumberFormat="1" applyFont="1" applyBorder="1" applyAlignment="1">
      <alignment vertical="center"/>
    </xf>
    <xf numFmtId="9" fontId="2" fillId="0" borderId="1" xfId="1" applyFont="1" applyBorder="1" applyAlignment="1">
      <alignment vertical="center"/>
    </xf>
    <xf numFmtId="44" fontId="0" fillId="0" borderId="0" xfId="2" applyFont="1"/>
    <xf numFmtId="0" fontId="0" fillId="0" borderId="1" xfId="0" applyBorder="1"/>
    <xf numFmtId="44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44" fontId="0" fillId="0" borderId="0" xfId="0" applyNumberFormat="1"/>
    <xf numFmtId="9" fontId="0" fillId="0" borderId="1" xfId="1" applyFont="1" applyBorder="1"/>
    <xf numFmtId="44" fontId="0" fillId="0" borderId="1" xfId="2" applyFont="1" applyBorder="1"/>
    <xf numFmtId="44" fontId="0" fillId="0" borderId="1" xfId="2" applyFont="1" applyFill="1" applyBorder="1"/>
    <xf numFmtId="0" fontId="3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167" fontId="2" fillId="4" borderId="1" xfId="1" applyNumberFormat="1" applyFont="1" applyFill="1" applyBorder="1" applyAlignment="1">
      <alignment vertical="center"/>
    </xf>
    <xf numFmtId="0" fontId="0" fillId="5" borderId="1" xfId="0" applyFill="1" applyBorder="1"/>
    <xf numFmtId="0" fontId="0" fillId="3" borderId="1" xfId="0" applyFill="1" applyBorder="1"/>
    <xf numFmtId="44" fontId="4" fillId="3" borderId="1" xfId="2" applyFont="1" applyFill="1" applyBorder="1"/>
    <xf numFmtId="165" fontId="0" fillId="0" borderId="0" xfId="0" applyNumberFormat="1"/>
    <xf numFmtId="10" fontId="0" fillId="3" borderId="1" xfId="0" applyNumberFormat="1" applyFill="1" applyBorder="1"/>
    <xf numFmtId="0" fontId="3" fillId="5" borderId="4" xfId="0" applyFont="1" applyFill="1" applyBorder="1" applyAlignment="1">
      <alignment vertical="center" wrapText="1"/>
    </xf>
    <xf numFmtId="44" fontId="2" fillId="5" borderId="1" xfId="2" applyFont="1" applyFill="1" applyBorder="1" applyAlignment="1">
      <alignment vertical="center"/>
    </xf>
    <xf numFmtId="9" fontId="0" fillId="0" borderId="0" xfId="1" applyFont="1" applyBorder="1"/>
    <xf numFmtId="10" fontId="0" fillId="8" borderId="1" xfId="1" applyNumberFormat="1" applyFont="1" applyFill="1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FEA0-C244-4411-A4EA-E725FEE5A5C2}">
  <sheetPr codeName="Sheet1"/>
  <dimension ref="A1:DQ55"/>
  <sheetViews>
    <sheetView tabSelected="1" zoomScale="70" zoomScaleNormal="70" zoomScaleSheetLayoutView="100" workbookViewId="0">
      <selection activeCell="L42" sqref="L42"/>
    </sheetView>
  </sheetViews>
  <sheetFormatPr defaultRowHeight="15" x14ac:dyDescent="0.25"/>
  <cols>
    <col min="1" max="1" width="36.42578125" customWidth="1"/>
    <col min="2" max="2" width="54.42578125" customWidth="1"/>
    <col min="3" max="3" width="33.85546875" customWidth="1"/>
    <col min="4" max="4" width="28.7109375" customWidth="1"/>
    <col min="5" max="5" width="27.85546875" style="2" customWidth="1"/>
    <col min="6" max="6" width="23.28515625" customWidth="1"/>
    <col min="7" max="7" width="22.5703125" customWidth="1"/>
    <col min="8" max="8" width="29" customWidth="1"/>
    <col min="9" max="9" width="20.85546875" style="1" customWidth="1"/>
    <col min="10" max="10" width="26.42578125" customWidth="1"/>
    <col min="11" max="11" width="29.28515625" customWidth="1"/>
    <col min="12" max="12" width="13.7109375" customWidth="1"/>
    <col min="13" max="13" width="20.42578125" customWidth="1"/>
    <col min="14" max="14" width="10" customWidth="1"/>
    <col min="15" max="15" width="18.5703125" customWidth="1"/>
  </cols>
  <sheetData>
    <row r="1" spans="1:121" x14ac:dyDescent="0.25">
      <c r="A1" s="3" t="s">
        <v>1</v>
      </c>
      <c r="B1" s="3" t="s">
        <v>0</v>
      </c>
      <c r="C1" s="13" t="s">
        <v>4</v>
      </c>
      <c r="D1" s="3" t="s">
        <v>5</v>
      </c>
      <c r="E1" s="3" t="s">
        <v>15</v>
      </c>
      <c r="G1" s="34"/>
      <c r="H1" s="46" t="s">
        <v>41</v>
      </c>
      <c r="I1" s="48" t="s">
        <v>42</v>
      </c>
    </row>
    <row r="2" spans="1:121" x14ac:dyDescent="0.25">
      <c r="A2" s="4" t="s">
        <v>22</v>
      </c>
      <c r="B2" s="5">
        <v>6.4302000000000001</v>
      </c>
      <c r="C2" s="14">
        <v>731.12090000000001</v>
      </c>
      <c r="D2" s="15">
        <f t="shared" ref="D2:D7" si="0">C2*B2</f>
        <v>4701.25361118</v>
      </c>
      <c r="E2" s="17">
        <f t="shared" ref="E2:E19" si="1">D2/($D$20+$D$24+$D$25+$B$29+$B$28)</f>
        <v>9.1358959155294475E-2</v>
      </c>
      <c r="G2" s="45" t="s">
        <v>40</v>
      </c>
      <c r="H2" s="39">
        <v>301750</v>
      </c>
      <c r="I2" s="39">
        <v>207310</v>
      </c>
      <c r="M2" s="37"/>
    </row>
    <row r="3" spans="1:121" x14ac:dyDescent="0.25">
      <c r="A3" s="4" t="s">
        <v>32</v>
      </c>
      <c r="B3" s="5">
        <v>974.01310000000001</v>
      </c>
      <c r="C3" s="18">
        <v>18.533000000000001</v>
      </c>
      <c r="D3" s="19">
        <f t="shared" si="0"/>
        <v>18051.3847823</v>
      </c>
      <c r="E3" s="17">
        <f t="shared" si="1"/>
        <v>0.3507906319073727</v>
      </c>
      <c r="G3" s="45" t="s">
        <v>43</v>
      </c>
      <c r="H3" s="39">
        <f>8000+5000+8000+45000+136000+8000</f>
        <v>210000</v>
      </c>
      <c r="I3" s="39">
        <v>0</v>
      </c>
    </row>
    <row r="4" spans="1:121" x14ac:dyDescent="0.25">
      <c r="A4" s="4" t="s">
        <v>33</v>
      </c>
      <c r="B4" s="34">
        <v>3.1</v>
      </c>
      <c r="C4" s="34">
        <v>431.11099999999999</v>
      </c>
      <c r="D4" s="19">
        <f t="shared" si="0"/>
        <v>1336.4440999999999</v>
      </c>
      <c r="E4" s="17">
        <f t="shared" si="1"/>
        <v>2.5970975412787513E-2</v>
      </c>
      <c r="G4" s="33"/>
      <c r="H4" s="33"/>
      <c r="I4"/>
      <c r="J4" s="33"/>
      <c r="K4" s="33"/>
    </row>
    <row r="5" spans="1:121" x14ac:dyDescent="0.25">
      <c r="A5" s="49" t="s">
        <v>45</v>
      </c>
      <c r="B5">
        <v>6</v>
      </c>
      <c r="C5">
        <v>100.446</v>
      </c>
      <c r="D5" s="19">
        <f t="shared" si="0"/>
        <v>602.67599999999993</v>
      </c>
      <c r="E5" s="17">
        <f t="shared" si="1"/>
        <v>1.1711738319528011E-2</v>
      </c>
    </row>
    <row r="6" spans="1:121" x14ac:dyDescent="0.25">
      <c r="A6" s="4" t="s">
        <v>44</v>
      </c>
      <c r="B6" s="5">
        <v>24.005400000000002</v>
      </c>
      <c r="C6" s="18">
        <v>100.63</v>
      </c>
      <c r="D6" s="19">
        <f t="shared" si="0"/>
        <v>2415.6634020000001</v>
      </c>
      <c r="E6" s="17">
        <f t="shared" si="1"/>
        <v>4.6943328807327329E-2</v>
      </c>
    </row>
    <row r="7" spans="1:121" x14ac:dyDescent="0.25">
      <c r="A7" s="4" t="s">
        <v>34</v>
      </c>
      <c r="B7" s="5">
        <v>4.9870999999999999</v>
      </c>
      <c r="C7" s="18">
        <v>638.44000000000005</v>
      </c>
      <c r="D7" s="40">
        <f t="shared" si="0"/>
        <v>3183.9641240000001</v>
      </c>
      <c r="E7" s="17">
        <f t="shared" si="1"/>
        <v>6.1873634654529538E-2</v>
      </c>
      <c r="G7" s="33"/>
      <c r="H7" s="33"/>
      <c r="I7"/>
      <c r="J7" s="33"/>
      <c r="K7" s="33"/>
    </row>
    <row r="8" spans="1:121" x14ac:dyDescent="0.25">
      <c r="A8" s="4" t="s">
        <v>31</v>
      </c>
      <c r="B8" s="5">
        <v>6</v>
      </c>
      <c r="C8" s="14">
        <v>301.79500000000002</v>
      </c>
      <c r="D8" s="15">
        <f t="shared" ref="D8:D9" si="2">C8*B8</f>
        <v>1810.77</v>
      </c>
      <c r="E8" s="17">
        <f t="shared" si="1"/>
        <v>3.5188499951635276E-2</v>
      </c>
      <c r="G8" s="33"/>
      <c r="H8" s="33"/>
      <c r="I8"/>
      <c r="J8" s="33"/>
      <c r="K8" s="33"/>
    </row>
    <row r="9" spans="1:121" x14ac:dyDescent="0.25">
      <c r="A9" s="4" t="s">
        <v>26</v>
      </c>
      <c r="B9" s="5">
        <v>15</v>
      </c>
      <c r="C9" s="18">
        <v>71.781999999999996</v>
      </c>
      <c r="D9" s="39">
        <f t="shared" si="2"/>
        <v>1076.73</v>
      </c>
      <c r="E9" s="17">
        <f t="shared" si="1"/>
        <v>2.0923979054724921E-2</v>
      </c>
      <c r="M9" s="37"/>
    </row>
    <row r="10" spans="1:121" x14ac:dyDescent="0.25">
      <c r="A10" s="4" t="s">
        <v>28</v>
      </c>
      <c r="B10" s="5">
        <v>185</v>
      </c>
      <c r="C10" s="18">
        <v>15.927</v>
      </c>
      <c r="D10" s="40">
        <f>B10*C10</f>
        <v>2946.4949999999999</v>
      </c>
      <c r="E10" s="17">
        <f t="shared" si="1"/>
        <v>5.7258922538474553E-2</v>
      </c>
      <c r="G10" s="33"/>
      <c r="H10" s="33"/>
      <c r="I10"/>
      <c r="J10" s="33"/>
      <c r="K10" s="33"/>
    </row>
    <row r="11" spans="1:121" s="34" customFormat="1" x14ac:dyDescent="0.25">
      <c r="A11" s="4" t="s">
        <v>18</v>
      </c>
      <c r="B11" s="5">
        <v>18</v>
      </c>
      <c r="C11" s="14">
        <v>399.46600000000001</v>
      </c>
      <c r="D11" s="15">
        <f t="shared" ref="D11:D18" si="3">C11*B11</f>
        <v>7190.3879999999999</v>
      </c>
      <c r="E11" s="17">
        <f t="shared" si="1"/>
        <v>0.13973004180002918</v>
      </c>
      <c r="F11"/>
      <c r="G11" s="33"/>
      <c r="H11" s="33"/>
      <c r="I11"/>
      <c r="J11" s="33"/>
      <c r="K11" s="33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</row>
    <row r="12" spans="1:121" x14ac:dyDescent="0.25">
      <c r="A12" s="4" t="s">
        <v>36</v>
      </c>
      <c r="B12" s="5">
        <v>10</v>
      </c>
      <c r="C12" s="18">
        <v>91.68</v>
      </c>
      <c r="D12" s="19">
        <f t="shared" si="3"/>
        <v>916.80000000000007</v>
      </c>
      <c r="E12" s="17">
        <f t="shared" si="1"/>
        <v>1.7816076451266157E-2</v>
      </c>
      <c r="J12" s="33"/>
      <c r="K12" s="33"/>
      <c r="L12" s="33"/>
    </row>
    <row r="13" spans="1:121" x14ac:dyDescent="0.25">
      <c r="A13" s="4" t="s">
        <v>17</v>
      </c>
      <c r="B13" s="5">
        <v>5.6</v>
      </c>
      <c r="C13" s="18">
        <v>196.43199999999999</v>
      </c>
      <c r="D13" s="19">
        <f t="shared" si="3"/>
        <v>1100.0192</v>
      </c>
      <c r="E13" s="17">
        <f t="shared" si="1"/>
        <v>2.1376555590162126E-2</v>
      </c>
      <c r="J13" s="33"/>
      <c r="K13" s="33"/>
      <c r="L13" s="33"/>
    </row>
    <row r="14" spans="1:121" x14ac:dyDescent="0.25">
      <c r="A14" s="4" t="s">
        <v>23</v>
      </c>
      <c r="B14" s="5">
        <v>1</v>
      </c>
      <c r="C14" s="18">
        <v>0</v>
      </c>
      <c r="D14" s="19">
        <f t="shared" si="3"/>
        <v>0</v>
      </c>
      <c r="E14" s="17">
        <f t="shared" si="1"/>
        <v>0</v>
      </c>
      <c r="J14" s="33"/>
      <c r="K14" s="33"/>
      <c r="L14" s="33"/>
    </row>
    <row r="15" spans="1:121" ht="14.25" customHeight="1" x14ac:dyDescent="0.25">
      <c r="A15" s="4" t="s">
        <v>21</v>
      </c>
      <c r="B15" s="5">
        <v>1</v>
      </c>
      <c r="C15" s="18">
        <v>210.02</v>
      </c>
      <c r="D15" s="19">
        <f t="shared" si="3"/>
        <v>210.02</v>
      </c>
      <c r="E15" s="17">
        <f t="shared" si="1"/>
        <v>4.0812962219621707E-3</v>
      </c>
      <c r="G15" s="33"/>
      <c r="H15" s="33"/>
      <c r="I15"/>
      <c r="J15" s="33"/>
      <c r="K15" s="33"/>
      <c r="M15" s="37"/>
    </row>
    <row r="16" spans="1:121" x14ac:dyDescent="0.25">
      <c r="A16" s="4" t="s">
        <v>37</v>
      </c>
      <c r="B16" s="5">
        <v>8</v>
      </c>
      <c r="C16" s="18">
        <v>80.599999999999994</v>
      </c>
      <c r="D16" s="19">
        <f t="shared" si="3"/>
        <v>644.79999999999995</v>
      </c>
      <c r="E16" s="17">
        <f t="shared" si="1"/>
        <v>1.2530329511099931E-2</v>
      </c>
      <c r="J16" s="33"/>
      <c r="K16" s="33"/>
      <c r="L16" s="33"/>
    </row>
    <row r="17" spans="1:12" x14ac:dyDescent="0.25">
      <c r="A17" s="4" t="s">
        <v>27</v>
      </c>
      <c r="B17" s="5">
        <v>7</v>
      </c>
      <c r="C17" s="18">
        <v>284.97699999999998</v>
      </c>
      <c r="D17" s="19">
        <f t="shared" si="3"/>
        <v>1994.8389999999999</v>
      </c>
      <c r="E17" s="52">
        <f t="shared" si="1"/>
        <v>3.8765493163140631E-2</v>
      </c>
    </row>
    <row r="18" spans="1:12" x14ac:dyDescent="0.25">
      <c r="A18" s="4" t="s">
        <v>47</v>
      </c>
      <c r="B18" s="5">
        <v>1</v>
      </c>
      <c r="C18" s="18">
        <v>249.38</v>
      </c>
      <c r="D18" s="19">
        <f t="shared" si="3"/>
        <v>249.38</v>
      </c>
      <c r="E18" s="52">
        <f t="shared" si="1"/>
        <v>4.846174896833283E-3</v>
      </c>
    </row>
    <row r="19" spans="1:12" x14ac:dyDescent="0.25">
      <c r="A19" s="4" t="s">
        <v>46</v>
      </c>
      <c r="B19" s="5">
        <v>1</v>
      </c>
      <c r="C19" s="18">
        <v>48.87</v>
      </c>
      <c r="D19" s="19">
        <f>C19*B19</f>
        <v>48.87</v>
      </c>
      <c r="E19" s="52">
        <f t="shared" si="1"/>
        <v>9.4968548884530649E-4</v>
      </c>
    </row>
    <row r="20" spans="1:12" x14ac:dyDescent="0.25">
      <c r="D20" s="20">
        <f>SUM(D2:D19)</f>
        <v>48480.497219480007</v>
      </c>
    </row>
    <row r="21" spans="1:12" x14ac:dyDescent="0.25">
      <c r="J21" s="33"/>
      <c r="K21" s="33"/>
      <c r="L21" s="33"/>
    </row>
    <row r="22" spans="1:12" x14ac:dyDescent="0.25">
      <c r="A22" s="41" t="s">
        <v>8</v>
      </c>
      <c r="B22" s="42"/>
      <c r="C22" s="42"/>
      <c r="E22" s="34"/>
      <c r="J22" s="33"/>
      <c r="K22" s="33"/>
      <c r="L22" s="33"/>
    </row>
    <row r="23" spans="1:12" x14ac:dyDescent="0.25">
      <c r="A23" s="23" t="s">
        <v>6</v>
      </c>
      <c r="B23" s="22" t="s">
        <v>2</v>
      </c>
      <c r="C23" s="6" t="s">
        <v>3</v>
      </c>
      <c r="D23" s="23" t="s">
        <v>16</v>
      </c>
      <c r="E23" s="8" t="s">
        <v>15</v>
      </c>
      <c r="J23" s="33"/>
      <c r="K23" s="33"/>
      <c r="L23" s="33"/>
    </row>
    <row r="24" spans="1:12" ht="12.75" customHeight="1" x14ac:dyDescent="0.25">
      <c r="A24" s="34" t="s">
        <v>24</v>
      </c>
      <c r="B24" s="11">
        <v>1.278341E-2</v>
      </c>
      <c r="C24" s="24">
        <v>76477.34</v>
      </c>
      <c r="D24" s="24">
        <f>C24*B24</f>
        <v>977.64119292939995</v>
      </c>
      <c r="E24" s="16">
        <f>D24/(D20+D24+D25+B28+B72)</f>
        <v>1.9044257789878966E-2</v>
      </c>
      <c r="H24" s="47"/>
      <c r="J24" s="33"/>
      <c r="K24" s="33"/>
      <c r="L24" s="33"/>
    </row>
    <row r="25" spans="1:12" x14ac:dyDescent="0.25">
      <c r="A25" s="11" t="s">
        <v>25</v>
      </c>
      <c r="B25" s="11">
        <v>5.4400000000000004E-3</v>
      </c>
      <c r="C25" s="15">
        <v>69132.929999999993</v>
      </c>
      <c r="D25" s="24">
        <f>C25*B25</f>
        <v>376.08313920000001</v>
      </c>
      <c r="E25" s="16">
        <f>D25/(D20+D24+D25+B28+B29)</f>
        <v>7.308383464244516E-3</v>
      </c>
      <c r="J25" s="33"/>
      <c r="K25" s="33"/>
      <c r="L25" s="33"/>
    </row>
    <row r="26" spans="1:12" x14ac:dyDescent="0.25">
      <c r="J26" s="33"/>
      <c r="K26" s="33"/>
    </row>
    <row r="27" spans="1:12" x14ac:dyDescent="0.25">
      <c r="B27" s="23" t="s">
        <v>7</v>
      </c>
      <c r="C27" s="36" t="s">
        <v>15</v>
      </c>
      <c r="D27" s="9"/>
      <c r="E27" s="12"/>
      <c r="J27" s="33"/>
      <c r="K27" s="33"/>
    </row>
    <row r="28" spans="1:12" x14ac:dyDescent="0.25">
      <c r="A28" s="6" t="s">
        <v>38</v>
      </c>
      <c r="B28" s="7">
        <v>1501</v>
      </c>
      <c r="C28" s="43">
        <f>B28/(D20+B29)</f>
        <v>3.088196682252203E-2</v>
      </c>
      <c r="D28" s="26"/>
      <c r="E28" s="12"/>
      <c r="I28" s="33"/>
      <c r="J28" s="33"/>
      <c r="K28" s="33"/>
    </row>
    <row r="29" spans="1:12" x14ac:dyDescent="0.25">
      <c r="A29" s="6" t="s">
        <v>39</v>
      </c>
      <c r="B29" s="7">
        <v>123.92</v>
      </c>
      <c r="C29" s="43">
        <f>B29/D20</f>
        <v>2.5560793949573513E-3</v>
      </c>
      <c r="D29" s="26"/>
      <c r="E29" s="12"/>
      <c r="I29" s="33"/>
      <c r="J29" s="33"/>
      <c r="K29" s="33"/>
    </row>
    <row r="30" spans="1:12" x14ac:dyDescent="0.25">
      <c r="J30" s="33"/>
      <c r="K30" s="33"/>
    </row>
    <row r="31" spans="1:12" s="33" customFormat="1" x14ac:dyDescent="0.25">
      <c r="A31"/>
      <c r="B31" s="27">
        <v>46057</v>
      </c>
      <c r="C31" s="27">
        <v>46086</v>
      </c>
      <c r="D31" s="27">
        <v>46120</v>
      </c>
      <c r="E31" s="27">
        <v>46147</v>
      </c>
      <c r="F31" s="27">
        <v>46184</v>
      </c>
      <c r="G31" s="27">
        <v>46210</v>
      </c>
      <c r="H31"/>
      <c r="I31" s="20" t="s">
        <v>20</v>
      </c>
    </row>
    <row r="32" spans="1:12" x14ac:dyDescent="0.25">
      <c r="A32" s="10" t="s">
        <v>9</v>
      </c>
      <c r="B32" s="28">
        <v>21890.13</v>
      </c>
      <c r="C32" s="15">
        <v>23571.81</v>
      </c>
      <c r="D32" s="15">
        <v>24072.05</v>
      </c>
      <c r="E32" s="15">
        <v>25466.12</v>
      </c>
      <c r="F32" s="15">
        <v>21348.19</v>
      </c>
      <c r="G32" s="15">
        <v>21287.19</v>
      </c>
      <c r="I32" s="15">
        <v>21166.38</v>
      </c>
      <c r="J32" s="33"/>
      <c r="K32" s="33"/>
    </row>
    <row r="33" spans="1:10" x14ac:dyDescent="0.25">
      <c r="A33" s="50" t="s">
        <v>35</v>
      </c>
      <c r="B33" s="28">
        <v>141.21</v>
      </c>
      <c r="C33" s="15">
        <v>2536.0100000000002</v>
      </c>
      <c r="D33" s="15">
        <v>4103</v>
      </c>
      <c r="E33" s="15">
        <v>4994</v>
      </c>
      <c r="F33" s="15">
        <v>6141.14</v>
      </c>
      <c r="G33" s="15">
        <v>30268.1</v>
      </c>
      <c r="H33" s="33"/>
      <c r="I33" s="15">
        <v>30330.35</v>
      </c>
    </row>
    <row r="34" spans="1:10" x14ac:dyDescent="0.25">
      <c r="A34" s="29" t="s">
        <v>19</v>
      </c>
      <c r="B34" s="28">
        <v>537.24</v>
      </c>
      <c r="C34" s="15">
        <v>694.79</v>
      </c>
      <c r="D34" s="15">
        <v>851.04</v>
      </c>
      <c r="E34" s="15">
        <v>1156.6400000000001</v>
      </c>
      <c r="F34" s="15">
        <v>1014.79742</v>
      </c>
      <c r="G34" s="15">
        <v>1164.81</v>
      </c>
      <c r="I34" s="15">
        <f>63119.84*B25+63119.84*B24</f>
        <v>1150.2587234544001</v>
      </c>
    </row>
    <row r="35" spans="1:10" x14ac:dyDescent="0.25">
      <c r="A35" s="9"/>
      <c r="B35" s="9"/>
      <c r="C35" s="25"/>
      <c r="D35" s="21"/>
      <c r="E35" s="12"/>
      <c r="F35" s="9"/>
      <c r="G35" s="9"/>
      <c r="I35" s="25"/>
    </row>
    <row r="36" spans="1:10" x14ac:dyDescent="0.25">
      <c r="A36" s="10" t="s">
        <v>14</v>
      </c>
      <c r="B36" s="28">
        <v>22603.38</v>
      </c>
      <c r="C36" s="35">
        <f>SUM(C32:C34)</f>
        <v>26802.61</v>
      </c>
      <c r="D36" s="35">
        <f>SUM(D32:D34)</f>
        <v>29026.09</v>
      </c>
      <c r="E36" s="15">
        <v>31616.76</v>
      </c>
      <c r="F36" s="15">
        <v>28504.13</v>
      </c>
      <c r="G36" s="15">
        <v>52720.1</v>
      </c>
      <c r="I36" s="35">
        <f>SUM(I32:I34)</f>
        <v>52646.988723454393</v>
      </c>
    </row>
    <row r="37" spans="1:10" x14ac:dyDescent="0.25">
      <c r="A37" s="10" t="s">
        <v>13</v>
      </c>
      <c r="B37" s="28">
        <v>20582.53</v>
      </c>
      <c r="C37" s="15">
        <v>23541.98</v>
      </c>
      <c r="D37" s="15">
        <v>26675.51</v>
      </c>
      <c r="E37" s="15">
        <v>27234.52</v>
      </c>
      <c r="F37" s="15">
        <v>28277.200000000001</v>
      </c>
      <c r="G37" s="15">
        <v>51387.18</v>
      </c>
      <c r="H37" s="9"/>
      <c r="I37" s="15">
        <f>D20+D24+D25+B28+B29</f>
        <v>51459.141551609398</v>
      </c>
    </row>
    <row r="38" spans="1:10" x14ac:dyDescent="0.25">
      <c r="A38" s="9"/>
      <c r="B38" s="9"/>
      <c r="C38" s="1"/>
      <c r="D38" s="21"/>
      <c r="E38" s="12"/>
      <c r="F38" s="9"/>
      <c r="G38" s="9"/>
      <c r="J38" s="37"/>
    </row>
    <row r="39" spans="1:10" x14ac:dyDescent="0.25">
      <c r="A39" s="10" t="s">
        <v>11</v>
      </c>
      <c r="B39" s="30">
        <f t="shared" ref="B39:G39" si="4">B36-B37</f>
        <v>2020.8500000000022</v>
      </c>
      <c r="C39" s="15">
        <f t="shared" si="4"/>
        <v>3260.630000000001</v>
      </c>
      <c r="D39" s="15">
        <f t="shared" si="4"/>
        <v>2350.5800000000017</v>
      </c>
      <c r="E39" s="15">
        <f t="shared" si="4"/>
        <v>4382.239999999998</v>
      </c>
      <c r="F39" s="15">
        <f t="shared" si="4"/>
        <v>226.93000000000029</v>
      </c>
      <c r="G39" s="15">
        <f t="shared" si="4"/>
        <v>1332.9199999999983</v>
      </c>
      <c r="I39" s="15">
        <f>I36-I37</f>
        <v>1187.8471718449946</v>
      </c>
    </row>
    <row r="40" spans="1:10" x14ac:dyDescent="0.25">
      <c r="A40" s="10" t="s">
        <v>10</v>
      </c>
      <c r="B40" s="28">
        <f>B39*7.783</f>
        <v>15728.275550000018</v>
      </c>
      <c r="C40" s="15">
        <f>C39*7.8</f>
        <v>25432.914000000008</v>
      </c>
      <c r="D40" s="15">
        <f>D39*7.8</f>
        <v>18334.524000000012</v>
      </c>
      <c r="E40" s="15">
        <f>E39*7.8</f>
        <v>34181.47199999998</v>
      </c>
      <c r="F40" s="15">
        <f>F39*7.8</f>
        <v>1770.0540000000021</v>
      </c>
      <c r="G40" s="15">
        <f>G39*7.8</f>
        <v>10396.775999999985</v>
      </c>
      <c r="I40" s="15">
        <f>I39*7.8</f>
        <v>9265.2079403909574</v>
      </c>
    </row>
    <row r="41" spans="1:10" x14ac:dyDescent="0.25">
      <c r="A41" s="9"/>
      <c r="B41" s="9"/>
      <c r="C41" s="1"/>
      <c r="D41" s="1"/>
      <c r="E41" s="12"/>
      <c r="F41" s="9"/>
      <c r="G41" s="9"/>
    </row>
    <row r="42" spans="1:10" x14ac:dyDescent="0.25">
      <c r="A42" s="10" t="s">
        <v>12</v>
      </c>
      <c r="B42" s="31">
        <v>0.1012</v>
      </c>
      <c r="C42" s="16">
        <v>0.14099999999999999</v>
      </c>
      <c r="D42" s="16">
        <v>9.0300000000000005E-2</v>
      </c>
      <c r="E42" s="16">
        <v>0.16200000000000001</v>
      </c>
      <c r="F42" s="32">
        <f>(F39/F37)</f>
        <v>8.0251934420664094E-3</v>
      </c>
      <c r="G42" s="32">
        <f>(G39/G37)</f>
        <v>2.5938765271805112E-2</v>
      </c>
      <c r="I42" s="16">
        <f>(I39/I37)</f>
        <v>2.3083307183694057E-2</v>
      </c>
    </row>
    <row r="44" spans="1:10" x14ac:dyDescent="0.25">
      <c r="A44" s="10" t="s">
        <v>30</v>
      </c>
      <c r="B44" s="34"/>
      <c r="C44" s="38">
        <f>(C36-B36)/B37</f>
        <v>0.20401913661731574</v>
      </c>
      <c r="D44" s="38">
        <f>(D36-C36)/C37</f>
        <v>9.4447450894104903E-2</v>
      </c>
      <c r="E44" s="38">
        <f>(E36-D36)/D37</f>
        <v>9.7117918270353529E-2</v>
      </c>
      <c r="F44" s="38">
        <f>(F36-E36)/E37</f>
        <v>-0.11428987916805573</v>
      </c>
      <c r="G44" s="38">
        <f>(G36-F36)/F37</f>
        <v>0.85637792992234019</v>
      </c>
      <c r="I44" s="51"/>
    </row>
    <row r="46" spans="1:10" x14ac:dyDescent="0.25">
      <c r="A46" s="44" t="s">
        <v>29</v>
      </c>
      <c r="B46" s="34">
        <v>0</v>
      </c>
      <c r="C46" s="38">
        <f>(C36-$B$36)/$B$36</f>
        <v>0.18577885254329218</v>
      </c>
      <c r="D46" s="38">
        <f>(D36-$B$36)/$B$36</f>
        <v>0.2841482114621795</v>
      </c>
      <c r="E46" s="38">
        <f>(E36-$B$36)/$B$36</f>
        <v>0.39876248596448838</v>
      </c>
      <c r="F46" s="38">
        <f>(F36-$B$36)/$B$36</f>
        <v>0.26105608984143081</v>
      </c>
      <c r="G46" s="38">
        <f>(G36-$B$36)/$B$36</f>
        <v>1.3323989598015871</v>
      </c>
      <c r="H46" s="51"/>
      <c r="I46" s="38">
        <f>(I36-$B$36)/$B$36</f>
        <v>1.3291644313131217</v>
      </c>
    </row>
    <row r="53" spans="1:11" x14ac:dyDescent="0.25">
      <c r="A53" s="9"/>
      <c r="C53" s="9"/>
      <c r="E53" s="12"/>
      <c r="F53" s="9"/>
      <c r="G53" s="9"/>
      <c r="H53" s="9"/>
      <c r="I53" s="33"/>
      <c r="J53" s="9"/>
      <c r="K53" s="9"/>
    </row>
    <row r="54" spans="1:11" x14ac:dyDescent="0.25">
      <c r="I54" s="33"/>
    </row>
    <row r="55" spans="1:11" x14ac:dyDescent="0.25">
      <c r="I55" s="33"/>
    </row>
  </sheetData>
  <autoFilter ref="E1:E16" xr:uid="{280FFEA0-C244-4411-A4EA-E725FEE5A5C2}">
    <sortState xmlns:xlrd2="http://schemas.microsoft.com/office/spreadsheetml/2017/richdata2" ref="A2:E17">
      <sortCondition descending="1" ref="E1:E16"/>
    </sortState>
  </autoFilter>
  <sortState xmlns:xlrd2="http://schemas.microsoft.com/office/spreadsheetml/2017/richdata2" ref="B2:E18">
    <sortCondition descending="1" ref="B1:B1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O365Business44</dc:creator>
  <cp:lastModifiedBy>O365Business44</cp:lastModifiedBy>
  <dcterms:created xsi:type="dcterms:W3CDTF">2025-10-09T01:36:37Z</dcterms:created>
  <dcterms:modified xsi:type="dcterms:W3CDTF">2026-07-13T08:56:00Z</dcterms:modified>
</cp:coreProperties>
</file>